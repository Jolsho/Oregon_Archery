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13_ncr:1_{09EAAB49-4DCD-4AB8-81EE-FADC9913D60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EXAMPLE" sheetId="14" r:id="rId1"/>
    <sheet name="STATE CHAMPIONSHIP INDOOR 2026" sheetId="15" r:id="rId2"/>
    <sheet name="SHOOTING LINE" sheetId="16" r:id="rId3"/>
  </sheets>
  <definedNames>
    <definedName name="_xlnm.Print_Area" localSheetId="1">'STATE CHAMPIONSHIP INDOOR 2026'!$B$2:$L$102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15" l="1"/>
  <c r="T2" i="15" l="1"/>
  <c r="S2" i="15"/>
  <c r="R2" i="15"/>
  <c r="Q2" i="15"/>
  <c r="P2" i="15"/>
  <c r="O2" i="15"/>
  <c r="N2" i="15"/>
  <c r="M2" i="15"/>
  <c r="K110" i="15" l="1"/>
  <c r="K109" i="15"/>
  <c r="K108" i="15"/>
  <c r="K107" i="15"/>
  <c r="K106" i="15"/>
  <c r="K105" i="15"/>
  <c r="K104" i="15"/>
  <c r="K103" i="15"/>
  <c r="K102" i="15"/>
  <c r="K99" i="15"/>
  <c r="K98" i="15"/>
  <c r="K97" i="15"/>
  <c r="K96" i="15"/>
  <c r="K95" i="15"/>
  <c r="K94" i="15"/>
  <c r="K93" i="15"/>
  <c r="K92" i="15"/>
  <c r="K91" i="15"/>
  <c r="K88" i="15"/>
  <c r="K87" i="15"/>
  <c r="K86" i="15"/>
  <c r="K85" i="15"/>
  <c r="K84" i="15"/>
  <c r="K83" i="15"/>
  <c r="K82" i="15"/>
  <c r="K81" i="15"/>
  <c r="K80" i="15"/>
  <c r="K77" i="15"/>
  <c r="K76" i="15"/>
  <c r="K75" i="15"/>
  <c r="K74" i="15"/>
  <c r="K73" i="15"/>
  <c r="K72" i="15"/>
  <c r="K71" i="15"/>
  <c r="K70" i="15"/>
  <c r="K69" i="15"/>
  <c r="K66" i="15"/>
  <c r="K65" i="15"/>
  <c r="K64" i="15"/>
  <c r="K63" i="15"/>
  <c r="K62" i="15"/>
  <c r="K61" i="15"/>
  <c r="K58" i="15"/>
  <c r="K59" i="15"/>
  <c r="K60" i="15"/>
  <c r="K55" i="15"/>
  <c r="K54" i="15"/>
  <c r="K53" i="15"/>
  <c r="K52" i="15"/>
  <c r="K51" i="15"/>
  <c r="K50" i="15"/>
  <c r="K47" i="15"/>
  <c r="K48" i="15"/>
  <c r="K49" i="15"/>
  <c r="K33" i="15"/>
  <c r="K26" i="15"/>
  <c r="K34" i="15"/>
  <c r="K35" i="15"/>
  <c r="K32" i="15"/>
  <c r="K28" i="15"/>
  <c r="K29" i="15"/>
  <c r="K27" i="15"/>
  <c r="K36" i="15"/>
  <c r="K37" i="15"/>
  <c r="K38" i="15"/>
  <c r="K39" i="15"/>
  <c r="K40" i="15"/>
  <c r="K41" i="15"/>
  <c r="K42" i="15"/>
  <c r="K43" i="15"/>
  <c r="K44" i="15"/>
  <c r="K31" i="15"/>
  <c r="K30" i="15"/>
  <c r="K12" i="15"/>
  <c r="K4" i="15"/>
  <c r="K5" i="15"/>
  <c r="K8" i="15"/>
  <c r="K18" i="15"/>
  <c r="K6" i="15"/>
  <c r="K14" i="15"/>
  <c r="K16" i="15"/>
  <c r="K9" i="15"/>
  <c r="K17" i="15"/>
  <c r="K13" i="15"/>
  <c r="K10" i="15"/>
  <c r="K19" i="15"/>
  <c r="K20" i="15"/>
  <c r="K21" i="15"/>
  <c r="K22" i="15"/>
  <c r="K23" i="15"/>
  <c r="K11" i="15"/>
  <c r="K7" i="15"/>
  <c r="I26" i="14"/>
  <c r="I12" i="14"/>
  <c r="I13" i="14"/>
  <c r="J9" i="14"/>
  <c r="I5" i="14" l="1"/>
  <c r="I21" i="14"/>
  <c r="I17" i="14"/>
  <c r="I20" i="14"/>
  <c r="J14" i="14"/>
  <c r="J7" i="14"/>
  <c r="J6" i="14"/>
  <c r="I2" i="14" l="1"/>
  <c r="J2" i="14"/>
</calcChain>
</file>

<file path=xl/sharedStrings.xml><?xml version="1.0" encoding="utf-8"?>
<sst xmlns="http://schemas.openxmlformats.org/spreadsheetml/2006/main" count="733" uniqueCount="169">
  <si>
    <t>SCHOOL</t>
  </si>
  <si>
    <t>ARCHER NAME</t>
  </si>
  <si>
    <t xml:space="preserve"> </t>
  </si>
  <si>
    <t>SCORE</t>
  </si>
  <si>
    <t>THURSTON</t>
  </si>
  <si>
    <t>KAI</t>
  </si>
  <si>
    <t>DYLAN</t>
  </si>
  <si>
    <t>DIVISION</t>
  </si>
  <si>
    <t>LOGAN</t>
  </si>
  <si>
    <t>TRISTAN</t>
  </si>
  <si>
    <t>OWEN</t>
  </si>
  <si>
    <t>KAYLEE</t>
  </si>
  <si>
    <t>COLBY</t>
  </si>
  <si>
    <t>OPEN - MALE</t>
  </si>
  <si>
    <t>BH - MALE</t>
  </si>
  <si>
    <t>THEO</t>
  </si>
  <si>
    <t>ERICA</t>
  </si>
  <si>
    <t>DEWAYNE</t>
  </si>
  <si>
    <t>CHRIS</t>
  </si>
  <si>
    <t>MAX</t>
  </si>
  <si>
    <t>ARI</t>
  </si>
  <si>
    <t>SAM</t>
  </si>
  <si>
    <t>VAL</t>
  </si>
  <si>
    <t>OPEN - FEMALE</t>
  </si>
  <si>
    <t>BH-FEMALE</t>
  </si>
  <si>
    <t>MARSHFIELD</t>
  </si>
  <si>
    <t>BEND</t>
  </si>
  <si>
    <t>TEAM POINTS</t>
  </si>
  <si>
    <t>LAPINE</t>
  </si>
  <si>
    <t>X COUNT</t>
  </si>
  <si>
    <t>TRAD - MALE</t>
  </si>
  <si>
    <t>TRAD - FEMALE</t>
  </si>
  <si>
    <t>DVL</t>
  </si>
  <si>
    <t>GRANT</t>
  </si>
  <si>
    <t>WINNER</t>
  </si>
  <si>
    <t>BH - FEMALE</t>
  </si>
  <si>
    <t>OLYMPIC - MALE</t>
  </si>
  <si>
    <t>OLYMPIC - FEMALE</t>
  </si>
  <si>
    <t>CALC</t>
  </si>
  <si>
    <t>CHESTERTON</t>
  </si>
  <si>
    <t>ST MARYS</t>
  </si>
  <si>
    <t>HALFWAY</t>
  </si>
  <si>
    <t>PROSPECT</t>
  </si>
  <si>
    <t>CHESTERTON ACADEMY</t>
  </si>
  <si>
    <t>7 SCORES</t>
  </si>
  <si>
    <t>4 SCORES</t>
  </si>
  <si>
    <t>MATHEW NOBLE</t>
  </si>
  <si>
    <t>LUCA BIONAZ</t>
  </si>
  <si>
    <t>LUCAS PINDELL</t>
  </si>
  <si>
    <t>ADA BULTHIUS</t>
  </si>
  <si>
    <t>SARAH MAY</t>
  </si>
  <si>
    <t>EVA HALL</t>
  </si>
  <si>
    <t>KAI SUZUMURA</t>
  </si>
  <si>
    <t>DYLAN STUTESMAN</t>
  </si>
  <si>
    <t>OLIVA WAGNER</t>
  </si>
  <si>
    <t>LOGAN TURNBULL</t>
  </si>
  <si>
    <t>TRISTEN SCHEIDT</t>
  </si>
  <si>
    <t>OWEN COLEMAN</t>
  </si>
  <si>
    <t>COLBY BLANKENSHIP</t>
  </si>
  <si>
    <t>KAYLEE REED</t>
  </si>
  <si>
    <t>COLBY TOWNSEND</t>
  </si>
  <si>
    <t>NORA FERGUSON</t>
  </si>
  <si>
    <t>KENZIE ANDREW</t>
  </si>
  <si>
    <t>OWEN CHEN</t>
  </si>
  <si>
    <t>JAYDEN TRANBY</t>
  </si>
  <si>
    <t>LOGAN FORRESTER</t>
  </si>
  <si>
    <t>CORAL KUPERSTEIN</t>
  </si>
  <si>
    <t>ADDI GOODRICH</t>
  </si>
  <si>
    <t>SARA SHEPARD</t>
  </si>
  <si>
    <t>Jade Greenfield</t>
  </si>
  <si>
    <t>Easton Zeiler</t>
  </si>
  <si>
    <t>Stevie Hall</t>
  </si>
  <si>
    <t>Wyatt Jentzsch</t>
  </si>
  <si>
    <t>Hunter Ewing</t>
  </si>
  <si>
    <t>Mai Nave</t>
  </si>
  <si>
    <t>Kimberly Siville</t>
  </si>
  <si>
    <t>LUKE BEERS</t>
  </si>
  <si>
    <t>GLENDYN STALEY-MENAPACE</t>
  </si>
  <si>
    <t>ELIZABETH MCGILL</t>
  </si>
  <si>
    <t>RYLEIGH HO</t>
  </si>
  <si>
    <t>HARRY WEINCECK</t>
  </si>
  <si>
    <t>BENNET PETERSON</t>
  </si>
  <si>
    <t>OLIVIA HELM</t>
  </si>
  <si>
    <t>JAMES BEERS</t>
  </si>
  <si>
    <t>KWELI KHIEU</t>
  </si>
  <si>
    <t>BELLA WHITE</t>
  </si>
  <si>
    <t>CHRIS MARTINEZ</t>
  </si>
  <si>
    <t>KAIE RUSSELL</t>
  </si>
  <si>
    <t>MAX HEISEN</t>
  </si>
  <si>
    <t>THELONIOUS SCHOOLER</t>
  </si>
  <si>
    <t>MASHFIELD</t>
  </si>
  <si>
    <t>ERICA POSEKANY</t>
  </si>
  <si>
    <t>GRANT SIZEMORE</t>
  </si>
  <si>
    <t>SAMANTHA HOWELL</t>
  </si>
  <si>
    <t>LANE</t>
  </si>
  <si>
    <t>BODHI COUNSELLOR</t>
  </si>
  <si>
    <t>BH-MALE</t>
  </si>
  <si>
    <t>BALES</t>
  </si>
  <si>
    <t>TOP</t>
  </si>
  <si>
    <t>X</t>
  </si>
  <si>
    <t>BOTTOM</t>
  </si>
  <si>
    <t>STEVIE HALL</t>
  </si>
  <si>
    <t>HUNTER EWING</t>
  </si>
  <si>
    <t>WYATT JENTZSCH</t>
  </si>
  <si>
    <t>JADE GREENFIELD</t>
  </si>
  <si>
    <t>EASTON ZEILER</t>
  </si>
  <si>
    <t>GLENDYN STALEY - MENAPACE</t>
  </si>
  <si>
    <t>SARA SHEPPARD</t>
  </si>
  <si>
    <t>MAI NAVE</t>
  </si>
  <si>
    <t>KIMBERLIY SIVILLE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</si>
  <si>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</si>
  <si>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</si>
  <si>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</si>
  <si>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</si>
  <si>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</si>
  <si>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</si>
  <si>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</si>
  <si>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</si>
  <si>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</si>
  <si>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</si>
  <si>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</si>
  <si>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</si>
  <si>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5T</t>
  </si>
  <si>
    <t>5B</t>
  </si>
  <si>
    <t>7T</t>
  </si>
  <si>
    <t>4T</t>
  </si>
  <si>
    <t>6B</t>
  </si>
  <si>
    <t>6T</t>
  </si>
  <si>
    <t>8B</t>
  </si>
  <si>
    <t>8T</t>
  </si>
  <si>
    <t>7B</t>
  </si>
  <si>
    <t>4B</t>
  </si>
  <si>
    <t>3B</t>
  </si>
  <si>
    <t>3T</t>
  </si>
  <si>
    <t>2T</t>
  </si>
  <si>
    <t>10B</t>
  </si>
  <si>
    <t>9B</t>
  </si>
  <si>
    <t>10T</t>
  </si>
  <si>
    <t>9T</t>
  </si>
  <si>
    <t>11B</t>
  </si>
  <si>
    <t>19T</t>
  </si>
  <si>
    <t>14B</t>
  </si>
  <si>
    <t>18B</t>
  </si>
  <si>
    <t>18T</t>
  </si>
  <si>
    <t>16B</t>
  </si>
  <si>
    <t>17T</t>
  </si>
  <si>
    <t>17B</t>
  </si>
  <si>
    <t>16T</t>
  </si>
  <si>
    <t>15B</t>
  </si>
  <si>
    <t>15T</t>
  </si>
  <si>
    <t>14T</t>
  </si>
  <si>
    <t>13B</t>
  </si>
  <si>
    <t>13T</t>
  </si>
  <si>
    <t>23T</t>
  </si>
  <si>
    <t>23B</t>
  </si>
  <si>
    <t>24T</t>
  </si>
  <si>
    <t>24B</t>
  </si>
  <si>
    <t>21T</t>
  </si>
  <si>
    <t>21B</t>
  </si>
  <si>
    <t>22B</t>
  </si>
  <si>
    <t>22T</t>
  </si>
  <si>
    <t>26T</t>
  </si>
  <si>
    <t>26B</t>
  </si>
  <si>
    <t>27T</t>
  </si>
  <si>
    <t>27B</t>
  </si>
  <si>
    <t>28T</t>
  </si>
  <si>
    <t>28B</t>
  </si>
  <si>
    <t>29T</t>
  </si>
  <si>
    <t>29B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</si>
</sst>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 applyAlignment="1">
      <alignment horizontal="center"/>
    </xf>
    <xf numFmtId="0" fontId="0" fillId="2" borderId="10" xfId="0" applyFill="1" applyBorder="1"/>
    <xf numFmtId="0" fontId="1" fillId="2" borderId="0" xfId="0" applyFont="1" applyFill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3" fillId="2" borderId="5" xfId="0" applyFont="1" applyFill="1" applyBorder="1"/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4" borderId="14" xfId="0" applyFont="1" applyFill="1" applyBorder="1"/>
    <xf numFmtId="0" fontId="3" fillId="4" borderId="13" xfId="0" applyFont="1" applyFill="1" applyBorder="1"/>
    <xf numFmtId="0" fontId="3" fillId="4" borderId="13" xfId="0" applyFon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4" fillId="4" borderId="14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left" vertical="center"/>
    </xf>
    <xf numFmtId="0" fontId="0" fillId="4" borderId="14" xfId="0" applyFill="1" applyBorder="1"/>
    <xf numFmtId="0" fontId="0" fillId="4" borderId="13" xfId="0" applyFill="1" applyBorder="1"/>
    <xf numFmtId="0" fontId="3" fillId="5" borderId="14" xfId="0" applyFont="1" applyFill="1" applyBorder="1"/>
    <xf numFmtId="0" fontId="3" fillId="5" borderId="13" xfId="0" applyFont="1" applyFill="1" applyBorder="1"/>
    <xf numFmtId="0" fontId="3" fillId="5" borderId="13" xfId="0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4" fillId="5" borderId="14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horizontal="left" vertical="center"/>
    </xf>
    <xf numFmtId="0" fontId="3" fillId="3" borderId="14" xfId="0" applyFont="1" applyFill="1" applyBorder="1"/>
    <xf numFmtId="0" fontId="3" fillId="3" borderId="13" xfId="0" applyFont="1" applyFill="1" applyBorder="1"/>
    <xf numFmtId="0" fontId="3" fillId="3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4" fillId="3" borderId="14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3" fillId="6" borderId="14" xfId="0" applyFont="1" applyFill="1" applyBorder="1"/>
    <xf numFmtId="0" fontId="3" fillId="6" borderId="13" xfId="0" applyFont="1" applyFill="1" applyBorder="1"/>
    <xf numFmtId="0" fontId="3" fillId="6" borderId="13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4" fillId="6" borderId="14" xfId="0" applyFont="1" applyFill="1" applyBorder="1" applyAlignment="1">
      <alignment horizontal="left" vertical="center"/>
    </xf>
    <xf numFmtId="0" fontId="4" fillId="6" borderId="13" xfId="0" applyFont="1" applyFill="1" applyBorder="1" applyAlignment="1">
      <alignment horizontal="left" vertical="center"/>
    </xf>
    <xf numFmtId="0" fontId="3" fillId="7" borderId="14" xfId="0" applyFont="1" applyFill="1" applyBorder="1"/>
    <xf numFmtId="0" fontId="3" fillId="7" borderId="13" xfId="0" applyFont="1" applyFill="1" applyBorder="1"/>
    <xf numFmtId="0" fontId="3" fillId="7" borderId="13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4" fillId="7" borderId="14" xfId="0" applyFont="1" applyFill="1" applyBorder="1" applyAlignment="1">
      <alignment horizontal="left" vertical="center"/>
    </xf>
    <xf numFmtId="0" fontId="4" fillId="7" borderId="13" xfId="0" applyFont="1" applyFill="1" applyBorder="1" applyAlignment="1">
      <alignment horizontal="left" vertical="center"/>
    </xf>
    <xf numFmtId="0" fontId="0" fillId="7" borderId="14" xfId="0" applyFill="1" applyBorder="1"/>
    <xf numFmtId="0" fontId="0" fillId="7" borderId="13" xfId="0" applyFill="1" applyBorder="1"/>
    <xf numFmtId="0" fontId="3" fillId="3" borderId="15" xfId="0" applyFont="1" applyFill="1" applyBorder="1"/>
    <xf numFmtId="0" fontId="3" fillId="3" borderId="16" xfId="0" applyFont="1" applyFill="1" applyBorder="1"/>
    <xf numFmtId="0" fontId="3" fillId="3" borderId="16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7" fillId="4" borderId="13" xfId="0" applyFont="1" applyFill="1" applyBorder="1"/>
    <xf numFmtId="0" fontId="2" fillId="5" borderId="13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7" fillId="7" borderId="13" xfId="0" applyFont="1" applyFill="1" applyBorder="1"/>
    <xf numFmtId="0" fontId="2" fillId="3" borderId="16" xfId="0" applyFont="1" applyFill="1" applyBorder="1" applyAlignment="1">
      <alignment horizontal="center"/>
    </xf>
    <xf numFmtId="0" fontId="8" fillId="2" borderId="17" xfId="0" applyFont="1" applyFill="1" applyBorder="1"/>
    <xf numFmtId="0" fontId="8" fillId="2" borderId="18" xfId="0" applyFont="1" applyFill="1" applyBorder="1"/>
    <xf numFmtId="0" fontId="8" fillId="2" borderId="18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0" fillId="4" borderId="20" xfId="0" applyFill="1" applyBorder="1"/>
    <xf numFmtId="0" fontId="0" fillId="5" borderId="20" xfId="0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20" xfId="0" applyFill="1" applyBorder="1"/>
    <xf numFmtId="0" fontId="0" fillId="3" borderId="21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5" xfId="0" applyFill="1" applyBorder="1"/>
    <xf numFmtId="0" fontId="0" fillId="2" borderId="26" xfId="0" applyFill="1" applyBorder="1"/>
    <xf numFmtId="0" fontId="9" fillId="2" borderId="23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7" xfId="0" applyFill="1" applyBorder="1"/>
    <xf numFmtId="0" fontId="0" fillId="2" borderId="28" xfId="0" applyFill="1" applyBorder="1"/>
    <xf numFmtId="0" fontId="5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4" fillId="4" borderId="0" xfId="0" applyFont="1" applyFill="1" applyAlignment="1">
      <alignment horizontal="left" vertical="center"/>
    </xf>
    <xf numFmtId="0" fontId="4" fillId="4" borderId="29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10" fillId="4" borderId="13" xfId="0" applyFont="1" applyFill="1" applyBorder="1"/>
    <xf numFmtId="0" fontId="11" fillId="4" borderId="13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5" borderId="13" xfId="0" applyFont="1" applyFill="1" applyBorder="1" applyAlignment="1">
      <alignment horizontal="left" vertical="center"/>
    </xf>
    <xf numFmtId="0" fontId="10" fillId="5" borderId="13" xfId="0" applyFont="1" applyFill="1" applyBorder="1"/>
    <xf numFmtId="0" fontId="7" fillId="2" borderId="0" xfId="0" applyFont="1" applyFill="1"/>
    <xf numFmtId="0" fontId="11" fillId="4" borderId="0" xfId="0" applyFont="1" applyFill="1" applyAlignment="1">
      <alignment horizontal="left" vertical="center"/>
    </xf>
    <xf numFmtId="0" fontId="10" fillId="3" borderId="14" xfId="0" applyFont="1" applyFill="1" applyBorder="1"/>
    <xf numFmtId="0" fontId="10" fillId="3" borderId="13" xfId="0" applyFont="1" applyFill="1" applyBorder="1"/>
    <xf numFmtId="0" fontId="10" fillId="6" borderId="14" xfId="0" applyFont="1" applyFill="1" applyBorder="1"/>
    <xf numFmtId="0" fontId="10" fillId="6" borderId="13" xfId="0" applyFont="1" applyFill="1" applyBorder="1"/>
    <xf numFmtId="0" fontId="3" fillId="2" borderId="0" xfId="0" applyFont="1" applyFill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  <xf numFmtId="20" fontId="0" fillId="2" borderId="14" xfId="0" applyNumberFormat="1" applyFill="1" applyBorder="1" applyAlignment="1">
      <alignment horizontal="center" vertical="center"/>
    </xf>
    <xf numFmtId="20" fontId="0" fillId="2" borderId="15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/>
    </xf>
    <xf numFmtId="0" fontId="2" fillId="8" borderId="30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8" borderId="31" xfId="0" applyFont="1" applyFill="1" applyBorder="1" applyAlignment="1">
      <alignment horizontal="center" vertical="center" wrapText="1"/>
    </xf>
    <xf numFmtId="0" fontId="0" fillId="2" borderId="33" xfId="0" applyFill="1" applyBorder="1"/>
    <xf numFmtId="0" fontId="9" fillId="2" borderId="12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0" fillId="2" borderId="34" xfId="0" applyFill="1" applyBorder="1"/>
    <xf numFmtId="0" fontId="0" fillId="2" borderId="35" xfId="0" applyFill="1" applyBorder="1"/>
    <xf numFmtId="0" fontId="1" fillId="2" borderId="5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DED97-FA3B-4770-A77E-94312C997893}">
  <dimension ref="A1:J31"/>
  <sheetViews>
    <sheetView tabSelected="1" workbookViewId="0">
      <selection activeCell="C44" sqref="C44"/>
    </sheetView>
  </sheetViews>
  <sheetFormatPr defaultColWidth="8.7265625" defaultRowHeight="14.5" x14ac:dyDescent="0.35"/>
  <cols>
    <col min="1" max="1" width="4.453125" style="1" customWidth="1"/>
    <col min="2" max="2" width="22.81640625" style="1" customWidth="1"/>
    <col min="3" max="3" width="17.453125" style="1" customWidth="1"/>
    <col min="4" max="4" width="14.54296875" style="1" customWidth="1"/>
    <col min="5" max="7" width="9.54296875" style="1" customWidth="1"/>
    <col min="8" max="8" width="13.6328125" style="1" customWidth="1"/>
    <col min="9" max="9" width="17.26953125" style="1" customWidth="1"/>
    <col min="10" max="10" width="17.7265625" style="1" customWidth="1"/>
    <col min="11" max="16384" width="8.7265625" style="1"/>
  </cols>
  <sheetData>
    <row r="1" spans="1:10" ht="27" customHeight="1" thickBot="1" x14ac:dyDescent="0.55000000000000004">
      <c r="I1" s="9" t="s">
        <v>2</v>
      </c>
      <c r="J1" s="9" t="s">
        <v>34</v>
      </c>
    </row>
    <row r="2" spans="1:10" ht="26.5" thickBot="1" x14ac:dyDescent="0.65">
      <c r="B2" s="2"/>
      <c r="C2" s="3"/>
      <c r="D2" s="4"/>
      <c r="E2" s="2"/>
      <c r="F2" s="3"/>
      <c r="G2" s="3"/>
      <c r="H2" s="4"/>
      <c r="I2" s="26">
        <f>SUM(I3:I30)</f>
        <v>4</v>
      </c>
      <c r="J2" s="27">
        <f>SUM(J3:J30)</f>
        <v>6</v>
      </c>
    </row>
    <row r="3" spans="1:10" x14ac:dyDescent="0.35">
      <c r="B3" s="5"/>
      <c r="D3" s="6"/>
      <c r="E3" s="5"/>
      <c r="H3" s="6"/>
      <c r="I3" s="6"/>
      <c r="J3" s="8"/>
    </row>
    <row r="4" spans="1:10" x14ac:dyDescent="0.35">
      <c r="B4" s="10" t="s">
        <v>0</v>
      </c>
      <c r="C4" s="29" t="s">
        <v>1</v>
      </c>
      <c r="D4" s="11" t="s">
        <v>7</v>
      </c>
      <c r="E4" s="12" t="s">
        <v>3</v>
      </c>
      <c r="F4" s="30" t="s">
        <v>29</v>
      </c>
      <c r="G4" s="30" t="s">
        <v>32</v>
      </c>
      <c r="H4" s="11" t="s">
        <v>27</v>
      </c>
      <c r="I4" s="11" t="s">
        <v>25</v>
      </c>
      <c r="J4" s="13" t="s">
        <v>4</v>
      </c>
    </row>
    <row r="5" spans="1:10" x14ac:dyDescent="0.35">
      <c r="A5" s="1" t="s">
        <v>2</v>
      </c>
      <c r="B5" s="14" t="s">
        <v>25</v>
      </c>
      <c r="C5" s="31" t="s">
        <v>18</v>
      </c>
      <c r="D5" s="15" t="s">
        <v>14</v>
      </c>
      <c r="E5" s="16">
        <v>256</v>
      </c>
      <c r="F5" s="7">
        <v>10</v>
      </c>
      <c r="G5" s="32">
        <v>265</v>
      </c>
      <c r="H5" s="15">
        <v>0</v>
      </c>
      <c r="I5" s="11">
        <f>H5</f>
        <v>0</v>
      </c>
      <c r="J5" s="13"/>
    </row>
    <row r="6" spans="1:10" x14ac:dyDescent="0.35">
      <c r="B6" s="14" t="s">
        <v>4</v>
      </c>
      <c r="C6" s="31" t="s">
        <v>8</v>
      </c>
      <c r="D6" s="15" t="s">
        <v>14</v>
      </c>
      <c r="E6" s="16">
        <v>299</v>
      </c>
      <c r="F6" s="32">
        <v>38</v>
      </c>
      <c r="G6" s="32">
        <v>265</v>
      </c>
      <c r="H6" s="15">
        <v>1</v>
      </c>
      <c r="I6" s="11"/>
      <c r="J6" s="25">
        <f>H6</f>
        <v>1</v>
      </c>
    </row>
    <row r="7" spans="1:10" x14ac:dyDescent="0.35">
      <c r="B7" s="14" t="s">
        <v>4</v>
      </c>
      <c r="C7" s="31" t="s">
        <v>9</v>
      </c>
      <c r="D7" s="15" t="s">
        <v>14</v>
      </c>
      <c r="E7" s="16">
        <v>293</v>
      </c>
      <c r="F7" s="32">
        <v>33</v>
      </c>
      <c r="G7" s="32">
        <v>265</v>
      </c>
      <c r="H7" s="15">
        <v>1</v>
      </c>
      <c r="I7" s="11"/>
      <c r="J7" s="25">
        <f>H7</f>
        <v>1</v>
      </c>
    </row>
    <row r="8" spans="1:10" x14ac:dyDescent="0.35">
      <c r="B8" s="14" t="s">
        <v>4</v>
      </c>
      <c r="C8" s="31" t="s">
        <v>10</v>
      </c>
      <c r="D8" s="15" t="s">
        <v>14</v>
      </c>
      <c r="E8" s="16">
        <v>268</v>
      </c>
      <c r="F8" s="7">
        <v>14</v>
      </c>
      <c r="G8" s="32">
        <v>265</v>
      </c>
      <c r="H8" s="15">
        <v>1</v>
      </c>
      <c r="I8" s="11"/>
      <c r="J8" s="25">
        <v>1</v>
      </c>
    </row>
    <row r="9" spans="1:10" x14ac:dyDescent="0.35">
      <c r="B9" s="14" t="s">
        <v>4</v>
      </c>
      <c r="C9" s="31" t="s">
        <v>12</v>
      </c>
      <c r="D9" s="15" t="s">
        <v>14</v>
      </c>
      <c r="E9" s="16">
        <v>249</v>
      </c>
      <c r="F9" s="7">
        <v>8</v>
      </c>
      <c r="G9" s="32">
        <v>265</v>
      </c>
      <c r="H9" s="15">
        <v>0</v>
      </c>
      <c r="I9" s="11"/>
      <c r="J9" s="13">
        <f>H9</f>
        <v>0</v>
      </c>
    </row>
    <row r="10" spans="1:10" x14ac:dyDescent="0.35">
      <c r="B10" s="14"/>
      <c r="C10" s="31"/>
      <c r="D10" s="15"/>
      <c r="E10" s="16"/>
      <c r="F10" s="7"/>
      <c r="G10" s="32"/>
      <c r="H10" s="15"/>
      <c r="I10" s="11"/>
      <c r="J10" s="13"/>
    </row>
    <row r="11" spans="1:10" x14ac:dyDescent="0.35">
      <c r="B11" s="10" t="s">
        <v>0</v>
      </c>
      <c r="C11" s="29" t="s">
        <v>1</v>
      </c>
      <c r="D11" s="11" t="s">
        <v>7</v>
      </c>
      <c r="E11" s="12" t="s">
        <v>3</v>
      </c>
      <c r="F11" s="30" t="s">
        <v>29</v>
      </c>
      <c r="G11" s="30" t="s">
        <v>32</v>
      </c>
      <c r="H11" s="11" t="s">
        <v>27</v>
      </c>
      <c r="I11" s="11" t="s">
        <v>25</v>
      </c>
      <c r="J11" s="13" t="s">
        <v>4</v>
      </c>
    </row>
    <row r="12" spans="1:10" x14ac:dyDescent="0.35">
      <c r="B12" s="14" t="s">
        <v>25</v>
      </c>
      <c r="C12" s="31" t="s">
        <v>19</v>
      </c>
      <c r="D12" s="15" t="s">
        <v>24</v>
      </c>
      <c r="E12" s="16">
        <v>226</v>
      </c>
      <c r="F12" s="7">
        <v>6</v>
      </c>
      <c r="G12" s="32">
        <v>265</v>
      </c>
      <c r="H12" s="15">
        <v>0</v>
      </c>
      <c r="I12" s="11">
        <f>H12</f>
        <v>0</v>
      </c>
      <c r="J12" s="13"/>
    </row>
    <row r="13" spans="1:10" x14ac:dyDescent="0.35">
      <c r="B13" s="14" t="s">
        <v>25</v>
      </c>
      <c r="C13" s="31" t="s">
        <v>20</v>
      </c>
      <c r="D13" s="15" t="s">
        <v>24</v>
      </c>
      <c r="E13" s="16">
        <v>213</v>
      </c>
      <c r="F13" s="7">
        <v>1</v>
      </c>
      <c r="G13" s="32">
        <v>265</v>
      </c>
      <c r="H13" s="15">
        <v>0</v>
      </c>
      <c r="I13" s="11">
        <f>H13</f>
        <v>0</v>
      </c>
      <c r="J13" s="13"/>
    </row>
    <row r="14" spans="1:10" x14ac:dyDescent="0.35">
      <c r="B14" s="14" t="s">
        <v>4</v>
      </c>
      <c r="C14" s="31" t="s">
        <v>11</v>
      </c>
      <c r="D14" s="15" t="s">
        <v>24</v>
      </c>
      <c r="E14" s="16">
        <v>272</v>
      </c>
      <c r="F14" s="7">
        <v>17</v>
      </c>
      <c r="G14" s="32">
        <v>265</v>
      </c>
      <c r="H14" s="15">
        <v>1</v>
      </c>
      <c r="I14" s="11"/>
      <c r="J14" s="25">
        <f>H14</f>
        <v>1</v>
      </c>
    </row>
    <row r="15" spans="1:10" x14ac:dyDescent="0.35">
      <c r="B15" s="14"/>
      <c r="C15" s="31"/>
      <c r="D15" s="15"/>
      <c r="E15" s="16"/>
      <c r="F15" s="32"/>
      <c r="G15" s="32"/>
      <c r="H15" s="15"/>
      <c r="I15" s="11"/>
      <c r="J15" s="13"/>
    </row>
    <row r="16" spans="1:10" x14ac:dyDescent="0.35">
      <c r="B16" s="10" t="s">
        <v>0</v>
      </c>
      <c r="C16" s="29" t="s">
        <v>1</v>
      </c>
      <c r="D16" s="11" t="s">
        <v>7</v>
      </c>
      <c r="E16" s="12" t="s">
        <v>3</v>
      </c>
      <c r="F16" s="30" t="s">
        <v>29</v>
      </c>
      <c r="G16" s="30" t="s">
        <v>32</v>
      </c>
      <c r="H16" s="11" t="s">
        <v>27</v>
      </c>
      <c r="I16" s="11" t="s">
        <v>25</v>
      </c>
      <c r="J16" s="13" t="s">
        <v>4</v>
      </c>
    </row>
    <row r="17" spans="2:10" x14ac:dyDescent="0.35">
      <c r="B17" s="14" t="s">
        <v>25</v>
      </c>
      <c r="C17" s="31" t="s">
        <v>16</v>
      </c>
      <c r="D17" s="15" t="s">
        <v>23</v>
      </c>
      <c r="E17" s="16">
        <v>289</v>
      </c>
      <c r="F17" s="7">
        <v>26</v>
      </c>
      <c r="G17" s="32">
        <v>280</v>
      </c>
      <c r="H17" s="15">
        <v>1</v>
      </c>
      <c r="I17" s="24">
        <f>H17</f>
        <v>1</v>
      </c>
      <c r="J17" s="13"/>
    </row>
    <row r="18" spans="2:10" x14ac:dyDescent="0.35">
      <c r="B18" s="14"/>
      <c r="C18" s="31"/>
      <c r="D18" s="15"/>
      <c r="E18" s="16"/>
      <c r="F18" s="7"/>
      <c r="G18" s="32"/>
      <c r="H18" s="15"/>
      <c r="I18" s="11"/>
      <c r="J18" s="13"/>
    </row>
    <row r="19" spans="2:10" x14ac:dyDescent="0.35">
      <c r="B19" s="10" t="s">
        <v>0</v>
      </c>
      <c r="C19" s="29" t="s">
        <v>1</v>
      </c>
      <c r="D19" s="11" t="s">
        <v>7</v>
      </c>
      <c r="E19" s="12" t="s">
        <v>3</v>
      </c>
      <c r="F19" s="30" t="s">
        <v>29</v>
      </c>
      <c r="G19" s="30" t="s">
        <v>32</v>
      </c>
      <c r="H19" s="11" t="s">
        <v>27</v>
      </c>
      <c r="I19" s="11" t="s">
        <v>25</v>
      </c>
      <c r="J19" s="13" t="s">
        <v>4</v>
      </c>
    </row>
    <row r="20" spans="2:10" x14ac:dyDescent="0.35">
      <c r="B20" s="14" t="s">
        <v>25</v>
      </c>
      <c r="C20" s="31" t="s">
        <v>15</v>
      </c>
      <c r="D20" s="15" t="s">
        <v>13</v>
      </c>
      <c r="E20" s="16">
        <v>292</v>
      </c>
      <c r="F20" s="7">
        <v>23</v>
      </c>
      <c r="G20" s="32">
        <v>280</v>
      </c>
      <c r="H20" s="15">
        <v>1</v>
      </c>
      <c r="I20" s="24">
        <f>H20</f>
        <v>1</v>
      </c>
      <c r="J20" s="13"/>
    </row>
    <row r="21" spans="2:10" x14ac:dyDescent="0.35">
      <c r="B21" s="14" t="s">
        <v>25</v>
      </c>
      <c r="C21" s="31" t="s">
        <v>17</v>
      </c>
      <c r="D21" s="15" t="s">
        <v>13</v>
      </c>
      <c r="E21" s="16">
        <v>264</v>
      </c>
      <c r="F21" s="7">
        <v>8</v>
      </c>
      <c r="G21" s="32">
        <v>280</v>
      </c>
      <c r="H21" s="15">
        <v>0</v>
      </c>
      <c r="I21" s="24">
        <f>H21</f>
        <v>0</v>
      </c>
      <c r="J21" s="13"/>
    </row>
    <row r="22" spans="2:10" x14ac:dyDescent="0.35">
      <c r="B22" s="14" t="s">
        <v>4</v>
      </c>
      <c r="C22" s="31" t="s">
        <v>5</v>
      </c>
      <c r="D22" s="15" t="s">
        <v>13</v>
      </c>
      <c r="E22" s="16">
        <v>290</v>
      </c>
      <c r="F22" s="7">
        <v>40</v>
      </c>
      <c r="G22" s="32">
        <v>280</v>
      </c>
      <c r="H22" s="15">
        <v>1</v>
      </c>
      <c r="I22" s="11"/>
      <c r="J22" s="25">
        <v>1</v>
      </c>
    </row>
    <row r="23" spans="2:10" x14ac:dyDescent="0.35">
      <c r="B23" s="14" t="s">
        <v>4</v>
      </c>
      <c r="C23" s="31" t="s">
        <v>6</v>
      </c>
      <c r="D23" s="15" t="s">
        <v>13</v>
      </c>
      <c r="E23" s="16">
        <v>284</v>
      </c>
      <c r="F23" s="7">
        <v>23</v>
      </c>
      <c r="G23" s="32">
        <v>280</v>
      </c>
      <c r="H23" s="15">
        <v>1</v>
      </c>
      <c r="I23" s="11"/>
      <c r="J23" s="25">
        <v>1</v>
      </c>
    </row>
    <row r="24" spans="2:10" x14ac:dyDescent="0.35">
      <c r="B24" s="14"/>
      <c r="C24" s="31"/>
      <c r="D24" s="15"/>
      <c r="E24" s="16"/>
      <c r="F24" s="32"/>
      <c r="G24" s="32"/>
      <c r="H24" s="15"/>
      <c r="I24" s="11"/>
      <c r="J24" s="13"/>
    </row>
    <row r="25" spans="2:10" x14ac:dyDescent="0.35">
      <c r="B25" s="10" t="s">
        <v>0</v>
      </c>
      <c r="C25" s="29" t="s">
        <v>1</v>
      </c>
      <c r="D25" s="11" t="s">
        <v>7</v>
      </c>
      <c r="E25" s="12" t="s">
        <v>3</v>
      </c>
      <c r="F25" s="30" t="s">
        <v>29</v>
      </c>
      <c r="G25" s="30" t="s">
        <v>32</v>
      </c>
      <c r="H25" s="11" t="s">
        <v>27</v>
      </c>
      <c r="I25" s="11" t="s">
        <v>25</v>
      </c>
      <c r="J25" s="13" t="s">
        <v>4</v>
      </c>
    </row>
    <row r="26" spans="2:10" x14ac:dyDescent="0.35">
      <c r="B26" s="14" t="s">
        <v>25</v>
      </c>
      <c r="C26" s="31" t="s">
        <v>22</v>
      </c>
      <c r="D26" s="15" t="s">
        <v>31</v>
      </c>
      <c r="E26" s="16">
        <v>151</v>
      </c>
      <c r="F26" s="32">
        <v>0</v>
      </c>
      <c r="G26" s="32">
        <v>185</v>
      </c>
      <c r="H26" s="15">
        <v>0</v>
      </c>
      <c r="I26" s="24">
        <f>H26</f>
        <v>0</v>
      </c>
      <c r="J26" s="17"/>
    </row>
    <row r="27" spans="2:10" x14ac:dyDescent="0.35">
      <c r="B27" s="14"/>
      <c r="C27" s="31"/>
      <c r="D27" s="15"/>
      <c r="E27" s="16"/>
      <c r="F27" s="32"/>
      <c r="G27" s="32"/>
      <c r="H27" s="15"/>
      <c r="I27" s="15"/>
      <c r="J27" s="17"/>
    </row>
    <row r="28" spans="2:10" x14ac:dyDescent="0.35">
      <c r="B28" s="10" t="s">
        <v>0</v>
      </c>
      <c r="C28" s="29" t="s">
        <v>1</v>
      </c>
      <c r="D28" s="11" t="s">
        <v>7</v>
      </c>
      <c r="E28" s="12" t="s">
        <v>3</v>
      </c>
      <c r="F28" s="30" t="s">
        <v>29</v>
      </c>
      <c r="G28" s="30" t="s">
        <v>32</v>
      </c>
      <c r="H28" s="11" t="s">
        <v>27</v>
      </c>
      <c r="I28" s="11" t="s">
        <v>25</v>
      </c>
      <c r="J28" s="13" t="s">
        <v>4</v>
      </c>
    </row>
    <row r="29" spans="2:10" x14ac:dyDescent="0.35">
      <c r="B29" s="14" t="s">
        <v>25</v>
      </c>
      <c r="C29" s="31" t="s">
        <v>21</v>
      </c>
      <c r="D29" s="15" t="s">
        <v>30</v>
      </c>
      <c r="E29" s="16">
        <v>199</v>
      </c>
      <c r="F29" s="32">
        <v>1</v>
      </c>
      <c r="G29" s="32">
        <v>185</v>
      </c>
      <c r="H29" s="15" t="s">
        <v>2</v>
      </c>
      <c r="I29" s="24">
        <v>1</v>
      </c>
      <c r="J29" s="13"/>
    </row>
    <row r="30" spans="2:10" ht="15" thickBot="1" x14ac:dyDescent="0.4">
      <c r="B30" s="18" t="s">
        <v>25</v>
      </c>
      <c r="C30" s="19" t="s">
        <v>33</v>
      </c>
      <c r="D30" s="20" t="s">
        <v>30</v>
      </c>
      <c r="E30" s="21">
        <v>200</v>
      </c>
      <c r="F30" s="22">
        <v>5</v>
      </c>
      <c r="G30" s="22">
        <v>185</v>
      </c>
      <c r="H30" s="20"/>
      <c r="I30" s="28">
        <v>1</v>
      </c>
      <c r="J30" s="23"/>
    </row>
    <row r="31" spans="2:10" x14ac:dyDescent="0.35">
      <c r="I31" s="7" t="s">
        <v>2</v>
      </c>
      <c r="J31" s="7" t="s">
        <v>2</v>
      </c>
    </row>
  </sheetData>
  <sortState xmlns:xlrd2="http://schemas.microsoft.com/office/spreadsheetml/2017/richdata2" ref="B26:J29">
    <sortCondition ref="D26:D29"/>
  </sortState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348A-490A-4D48-907B-940002C94941}">
  <sheetPr>
    <pageSetUpPr fitToPage="1"/>
  </sheetPr>
  <dimension ref="B1:T1048539"/>
  <sheetViews>
    <sheetView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Q18" sqref="Q18"/>
    </sheetView>
  </sheetViews>
  <sheetFormatPr defaultColWidth="8.7265625" defaultRowHeight="14.5" x14ac:dyDescent="0.35"/>
  <cols>
    <col min="1" max="1" width="3.08984375" style="1" customWidth="1"/>
    <col min="2" max="2" width="24.54296875" style="1" customWidth="1"/>
    <col min="3" max="3" width="43.26953125" style="1" customWidth="1"/>
    <col min="4" max="4" width="8.6328125" style="1" customWidth="1"/>
    <col min="5" max="5" width="18.453125" style="1" customWidth="1"/>
    <col min="6" max="7" width="18.453125" style="1" hidden="1" customWidth="1"/>
    <col min="8" max="8" width="15.1796875" style="1" customWidth="1"/>
    <col min="9" max="9" width="12.453125" style="1" customWidth="1"/>
    <col min="10" max="10" width="13.7265625" style="1" customWidth="1"/>
    <col min="11" max="11" width="13.6328125" style="1" customWidth="1"/>
    <col min="12" max="12" width="21.26953125" style="1" customWidth="1"/>
    <col min="13" max="18" width="23.81640625" style="1" customWidth="1"/>
    <col min="19" max="20" width="23.81640625" style="1" hidden="1" customWidth="1"/>
    <col min="21" max="16384" width="8.7265625" style="1"/>
  </cols>
  <sheetData>
    <row r="1" spans="2:20" ht="15" thickBot="1" x14ac:dyDescent="0.4"/>
    <row r="2" spans="2:20" ht="26" customHeight="1" thickBot="1" x14ac:dyDescent="0.4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94">
        <f t="shared" ref="M2:T2" si="0">SUM(M4:M111)</f>
        <v>0</v>
      </c>
      <c r="N2" s="106">
        <f t="shared" si="0"/>
        <v>0</v>
      </c>
      <c r="O2" s="94">
        <f t="shared" si="0"/>
        <v>0</v>
      </c>
      <c r="P2" s="101">
        <f t="shared" si="0"/>
        <v>0</v>
      </c>
      <c r="Q2" s="114">
        <f t="shared" si="0"/>
        <v>0</v>
      </c>
      <c r="R2" s="94">
        <f t="shared" si="0"/>
        <v>0</v>
      </c>
      <c r="S2" s="148">
        <f t="shared" si="0"/>
        <v>0</v>
      </c>
      <c r="T2" s="94">
        <f t="shared" si="0"/>
        <v>0</v>
      </c>
    </row>
    <row r="3" spans="2:20" ht="21" x14ac:dyDescent="0.5">
      <c r="B3" s="80" t="s">
        <v>0</v>
      </c>
      <c r="C3" s="81" t="s">
        <v>1</v>
      </c>
      <c r="D3" s="81" t="s">
        <v>94</v>
      </c>
      <c r="E3" s="82" t="s">
        <v>7</v>
      </c>
      <c r="F3" s="82" t="s">
        <v>44</v>
      </c>
      <c r="G3" s="82" t="s">
        <v>45</v>
      </c>
      <c r="H3" s="82" t="s">
        <v>32</v>
      </c>
      <c r="I3" s="82" t="s">
        <v>3</v>
      </c>
      <c r="J3" s="82" t="s">
        <v>29</v>
      </c>
      <c r="K3" s="83" t="s">
        <v>38</v>
      </c>
      <c r="L3" s="83" t="s">
        <v>27</v>
      </c>
      <c r="M3" s="99" t="s">
        <v>25</v>
      </c>
      <c r="N3" s="107" t="s">
        <v>26</v>
      </c>
      <c r="O3" s="99" t="s">
        <v>28</v>
      </c>
      <c r="P3" s="107" t="s">
        <v>4</v>
      </c>
      <c r="Q3" s="152" t="s">
        <v>39</v>
      </c>
      <c r="R3" s="153" t="s">
        <v>40</v>
      </c>
      <c r="S3" s="149" t="s">
        <v>41</v>
      </c>
      <c r="T3" s="100" t="s">
        <v>42</v>
      </c>
    </row>
    <row r="4" spans="2:20" x14ac:dyDescent="0.35">
      <c r="B4" s="34" t="s">
        <v>4</v>
      </c>
      <c r="C4" s="35" t="s">
        <v>55</v>
      </c>
      <c r="D4" s="35" t="s">
        <v>122</v>
      </c>
      <c r="E4" s="72" t="s">
        <v>14</v>
      </c>
      <c r="F4" s="72">
        <v>298</v>
      </c>
      <c r="G4" s="72">
        <v>299</v>
      </c>
      <c r="H4" s="72">
        <v>265</v>
      </c>
      <c r="I4" s="36">
        <v>0</v>
      </c>
      <c r="J4" s="37"/>
      <c r="K4" s="84">
        <f t="shared" ref="K4:K21" si="1">SUM(I4-H4)</f>
        <v>-265</v>
      </c>
      <c r="L4" s="85"/>
      <c r="M4" s="102"/>
      <c r="N4" s="108"/>
      <c r="O4" s="113"/>
      <c r="P4" s="108"/>
      <c r="Q4" s="147"/>
      <c r="R4" s="104"/>
      <c r="S4" s="150"/>
      <c r="T4" s="104"/>
    </row>
    <row r="5" spans="2:20" ht="15.5" x14ac:dyDescent="0.35">
      <c r="B5" s="34" t="s">
        <v>4</v>
      </c>
      <c r="C5" s="39" t="s">
        <v>56</v>
      </c>
      <c r="D5" s="39" t="s">
        <v>123</v>
      </c>
      <c r="E5" s="72" t="s">
        <v>14</v>
      </c>
      <c r="F5" s="72">
        <v>288</v>
      </c>
      <c r="G5" s="72">
        <v>295</v>
      </c>
      <c r="H5" s="72">
        <v>265</v>
      </c>
      <c r="I5" s="36">
        <v>0</v>
      </c>
      <c r="J5" s="37"/>
      <c r="K5" s="84">
        <f t="shared" si="1"/>
        <v>-265</v>
      </c>
      <c r="L5" s="85"/>
      <c r="M5" s="102"/>
      <c r="N5" s="108"/>
      <c r="O5" s="113"/>
      <c r="P5" s="108"/>
      <c r="Q5" s="147"/>
      <c r="R5" s="104"/>
      <c r="S5" s="150"/>
      <c r="T5" s="104"/>
    </row>
    <row r="6" spans="2:20" ht="15.5" x14ac:dyDescent="0.35">
      <c r="B6" s="38" t="s">
        <v>26</v>
      </c>
      <c r="C6" s="39" t="s">
        <v>63</v>
      </c>
      <c r="D6" s="39" t="s">
        <v>124</v>
      </c>
      <c r="E6" s="72" t="s">
        <v>14</v>
      </c>
      <c r="F6" s="72">
        <v>284</v>
      </c>
      <c r="G6" s="72">
        <v>288</v>
      </c>
      <c r="H6" s="72">
        <v>265</v>
      </c>
      <c r="I6" s="36">
        <v>0</v>
      </c>
      <c r="J6" s="37"/>
      <c r="K6" s="84">
        <f t="shared" si="1"/>
        <v>-265</v>
      </c>
      <c r="L6" s="85"/>
      <c r="M6" s="102"/>
      <c r="N6" s="108"/>
      <c r="O6" s="113"/>
      <c r="P6" s="108"/>
      <c r="Q6" s="147"/>
      <c r="R6" s="104"/>
      <c r="S6" s="150"/>
      <c r="T6" s="104"/>
    </row>
    <row r="7" spans="2:20" x14ac:dyDescent="0.35">
      <c r="B7" s="34" t="s">
        <v>43</v>
      </c>
      <c r="C7" s="35" t="s">
        <v>46</v>
      </c>
      <c r="D7" s="35" t="s">
        <v>125</v>
      </c>
      <c r="E7" s="72" t="s">
        <v>14</v>
      </c>
      <c r="F7" s="72">
        <v>283</v>
      </c>
      <c r="G7" s="72">
        <v>287</v>
      </c>
      <c r="H7" s="72">
        <v>265</v>
      </c>
      <c r="I7" s="36">
        <v>0</v>
      </c>
      <c r="J7" s="37"/>
      <c r="K7" s="84">
        <f t="shared" si="1"/>
        <v>-265</v>
      </c>
      <c r="L7" s="85"/>
      <c r="M7" s="102"/>
      <c r="N7" s="108"/>
      <c r="O7" s="102"/>
      <c r="P7" s="108"/>
      <c r="Q7" s="147"/>
      <c r="R7" s="104"/>
      <c r="S7" s="150"/>
      <c r="T7" s="104"/>
    </row>
    <row r="8" spans="2:20" ht="15.5" x14ac:dyDescent="0.35">
      <c r="B8" s="34" t="s">
        <v>4</v>
      </c>
      <c r="C8" s="38" t="s">
        <v>57</v>
      </c>
      <c r="D8" s="116" t="s">
        <v>126</v>
      </c>
      <c r="E8" s="72" t="s">
        <v>14</v>
      </c>
      <c r="F8" s="72">
        <v>282</v>
      </c>
      <c r="G8" s="72">
        <v>289</v>
      </c>
      <c r="H8" s="72">
        <v>265</v>
      </c>
      <c r="I8" s="36">
        <v>0</v>
      </c>
      <c r="J8" s="37"/>
      <c r="K8" s="84">
        <f t="shared" si="1"/>
        <v>-265</v>
      </c>
      <c r="L8" s="85"/>
      <c r="M8" s="102"/>
      <c r="N8" s="108"/>
      <c r="O8" s="102"/>
      <c r="P8" s="109"/>
      <c r="Q8" s="147"/>
      <c r="R8" s="104"/>
      <c r="S8" s="150"/>
      <c r="T8" s="104"/>
    </row>
    <row r="9" spans="2:20" x14ac:dyDescent="0.35">
      <c r="B9" s="34" t="s">
        <v>28</v>
      </c>
      <c r="C9" s="35" t="s">
        <v>69</v>
      </c>
      <c r="D9" s="35" t="s">
        <v>127</v>
      </c>
      <c r="E9" s="72" t="s">
        <v>14</v>
      </c>
      <c r="F9" s="72">
        <v>282</v>
      </c>
      <c r="G9" s="72">
        <v>286</v>
      </c>
      <c r="H9" s="72">
        <v>265</v>
      </c>
      <c r="I9" s="36">
        <v>0</v>
      </c>
      <c r="J9" s="37"/>
      <c r="K9" s="84">
        <f t="shared" si="1"/>
        <v>-265</v>
      </c>
      <c r="L9" s="85"/>
      <c r="M9" s="102"/>
      <c r="N9" s="108"/>
      <c r="O9" s="102"/>
      <c r="P9" s="109"/>
      <c r="Q9" s="147"/>
      <c r="R9" s="104"/>
      <c r="S9" s="150"/>
      <c r="T9" s="104"/>
    </row>
    <row r="10" spans="2:20" x14ac:dyDescent="0.35">
      <c r="B10" s="34" t="s">
        <v>28</v>
      </c>
      <c r="C10" s="35" t="s">
        <v>70</v>
      </c>
      <c r="D10" s="35" t="s">
        <v>128</v>
      </c>
      <c r="E10" s="72" t="s">
        <v>14</v>
      </c>
      <c r="F10" s="72">
        <v>279</v>
      </c>
      <c r="G10" s="72">
        <v>283</v>
      </c>
      <c r="H10" s="72">
        <v>265</v>
      </c>
      <c r="I10" s="36">
        <v>0</v>
      </c>
      <c r="J10" s="37"/>
      <c r="K10" s="84">
        <f t="shared" si="1"/>
        <v>-265</v>
      </c>
      <c r="L10" s="85"/>
      <c r="M10" s="102"/>
      <c r="N10" s="108"/>
      <c r="O10" s="102"/>
      <c r="P10" s="109"/>
      <c r="Q10" s="147"/>
      <c r="R10" s="104"/>
      <c r="S10" s="150"/>
      <c r="T10" s="104"/>
    </row>
    <row r="11" spans="2:20" x14ac:dyDescent="0.35">
      <c r="B11" s="34" t="s">
        <v>43</v>
      </c>
      <c r="C11" s="35" t="s">
        <v>47</v>
      </c>
      <c r="D11" s="35" t="s">
        <v>129</v>
      </c>
      <c r="E11" s="72" t="s">
        <v>14</v>
      </c>
      <c r="F11" s="72">
        <v>272</v>
      </c>
      <c r="G11" s="72">
        <v>276</v>
      </c>
      <c r="H11" s="72">
        <v>265</v>
      </c>
      <c r="I11" s="36">
        <v>0</v>
      </c>
      <c r="J11" s="37"/>
      <c r="K11" s="84">
        <f t="shared" si="1"/>
        <v>-265</v>
      </c>
      <c r="L11" s="85"/>
      <c r="M11" s="102"/>
      <c r="N11" s="108"/>
      <c r="O11" s="102"/>
      <c r="P11" s="109"/>
      <c r="Q11" s="147"/>
      <c r="R11" s="104"/>
      <c r="S11" s="150"/>
      <c r="T11" s="104"/>
    </row>
    <row r="12" spans="2:20" x14ac:dyDescent="0.35">
      <c r="B12" s="34" t="s">
        <v>43</v>
      </c>
      <c r="C12" s="35" t="s">
        <v>48</v>
      </c>
      <c r="D12" s="35" t="s">
        <v>130</v>
      </c>
      <c r="E12" s="72" t="s">
        <v>14</v>
      </c>
      <c r="F12" s="72">
        <v>271</v>
      </c>
      <c r="G12" s="72">
        <v>273</v>
      </c>
      <c r="H12" s="72">
        <v>265</v>
      </c>
      <c r="I12" s="36">
        <v>0</v>
      </c>
      <c r="J12" s="37"/>
      <c r="K12" s="84">
        <f t="shared" si="1"/>
        <v>-265</v>
      </c>
      <c r="L12" s="85"/>
      <c r="M12" s="102"/>
      <c r="N12" s="108" t="s">
        <v>2</v>
      </c>
      <c r="O12" s="102"/>
      <c r="P12" s="108"/>
      <c r="Q12" s="147"/>
      <c r="R12" s="104"/>
      <c r="S12" s="150"/>
      <c r="T12" s="104"/>
    </row>
    <row r="13" spans="2:20" x14ac:dyDescent="0.35">
      <c r="B13" s="34" t="s">
        <v>28</v>
      </c>
      <c r="C13" s="35" t="s">
        <v>72</v>
      </c>
      <c r="D13" s="35" t="s">
        <v>133</v>
      </c>
      <c r="E13" s="72" t="s">
        <v>14</v>
      </c>
      <c r="F13" s="72">
        <v>270</v>
      </c>
      <c r="G13" s="72">
        <v>274</v>
      </c>
      <c r="H13" s="72">
        <v>265</v>
      </c>
      <c r="I13" s="36">
        <v>0</v>
      </c>
      <c r="J13" s="37"/>
      <c r="K13" s="84">
        <f t="shared" si="1"/>
        <v>-265</v>
      </c>
      <c r="L13" s="85"/>
      <c r="M13" s="102"/>
      <c r="N13" s="109" t="s">
        <v>2</v>
      </c>
      <c r="O13" s="102"/>
      <c r="P13" s="108"/>
      <c r="Q13" s="147"/>
      <c r="R13" s="104"/>
      <c r="S13" s="150"/>
      <c r="T13" s="104"/>
    </row>
    <row r="14" spans="2:20" x14ac:dyDescent="0.35">
      <c r="B14" s="34" t="s">
        <v>26</v>
      </c>
      <c r="C14" s="35" t="s">
        <v>64</v>
      </c>
      <c r="D14" s="35" t="s">
        <v>134</v>
      </c>
      <c r="E14" s="72" t="s">
        <v>14</v>
      </c>
      <c r="F14" s="72">
        <v>268</v>
      </c>
      <c r="G14" s="72">
        <v>284</v>
      </c>
      <c r="H14" s="72">
        <v>265</v>
      </c>
      <c r="I14" s="36">
        <v>0</v>
      </c>
      <c r="J14" s="37"/>
      <c r="K14" s="84">
        <f t="shared" si="1"/>
        <v>-265</v>
      </c>
      <c r="L14" s="85"/>
      <c r="M14" s="102"/>
      <c r="N14" s="109"/>
      <c r="O14" s="102"/>
      <c r="P14" s="108"/>
      <c r="Q14" s="147"/>
      <c r="R14" s="104"/>
      <c r="S14" s="150"/>
      <c r="T14" s="104"/>
    </row>
    <row r="15" spans="2:20" x14ac:dyDescent="0.35">
      <c r="B15" s="34" t="s">
        <v>26</v>
      </c>
      <c r="C15" s="35" t="s">
        <v>95</v>
      </c>
      <c r="D15" s="35" t="s">
        <v>131</v>
      </c>
      <c r="E15" s="72" t="s">
        <v>96</v>
      </c>
      <c r="F15" s="72">
        <v>268</v>
      </c>
      <c r="G15" s="72"/>
      <c r="H15" s="72">
        <v>265</v>
      </c>
      <c r="I15" s="36">
        <v>0</v>
      </c>
      <c r="J15" s="37"/>
      <c r="K15" s="84">
        <f t="shared" si="1"/>
        <v>-265</v>
      </c>
      <c r="L15" s="85"/>
      <c r="M15" s="102"/>
      <c r="N15" s="109"/>
      <c r="O15" s="102"/>
      <c r="P15" s="108"/>
      <c r="Q15" s="147"/>
      <c r="R15" s="104"/>
      <c r="S15" s="150"/>
      <c r="T15" s="104"/>
    </row>
    <row r="16" spans="2:20" x14ac:dyDescent="0.35">
      <c r="B16" s="34" t="s">
        <v>26</v>
      </c>
      <c r="C16" s="35" t="s">
        <v>65</v>
      </c>
      <c r="D16" s="35" t="s">
        <v>132</v>
      </c>
      <c r="E16" s="72" t="s">
        <v>14</v>
      </c>
      <c r="F16" s="72">
        <v>262</v>
      </c>
      <c r="G16" s="72">
        <v>276</v>
      </c>
      <c r="H16" s="72">
        <v>265</v>
      </c>
      <c r="I16" s="36">
        <v>0</v>
      </c>
      <c r="J16" s="37"/>
      <c r="K16" s="84">
        <f t="shared" si="1"/>
        <v>-265</v>
      </c>
      <c r="L16" s="85"/>
      <c r="M16" s="102"/>
      <c r="N16" s="109"/>
      <c r="O16" s="102"/>
      <c r="P16" s="108"/>
      <c r="Q16" s="147"/>
      <c r="R16" s="104"/>
      <c r="S16" s="150"/>
      <c r="T16" s="104"/>
    </row>
    <row r="17" spans="2:20" x14ac:dyDescent="0.35">
      <c r="B17" s="34" t="s">
        <v>28</v>
      </c>
      <c r="C17" s="35" t="s">
        <v>73</v>
      </c>
      <c r="D17" s="35" t="s">
        <v>135</v>
      </c>
      <c r="E17" s="72" t="s">
        <v>14</v>
      </c>
      <c r="F17" s="72">
        <v>259</v>
      </c>
      <c r="G17" s="72">
        <v>265</v>
      </c>
      <c r="H17" s="72">
        <v>265</v>
      </c>
      <c r="I17" s="36">
        <v>0</v>
      </c>
      <c r="J17" s="37"/>
      <c r="K17" s="84">
        <f t="shared" si="1"/>
        <v>-265</v>
      </c>
      <c r="L17" s="85"/>
      <c r="M17" s="102"/>
      <c r="N17" s="108"/>
      <c r="O17" s="102"/>
      <c r="P17" s="108"/>
      <c r="Q17" s="147"/>
      <c r="R17" s="104"/>
      <c r="S17" s="150"/>
      <c r="T17" s="104"/>
    </row>
    <row r="18" spans="2:20" x14ac:dyDescent="0.35">
      <c r="B18" s="34" t="s">
        <v>25</v>
      </c>
      <c r="C18" s="35" t="s">
        <v>86</v>
      </c>
      <c r="D18" s="35" t="s">
        <v>136</v>
      </c>
      <c r="E18" s="72" t="s">
        <v>14</v>
      </c>
      <c r="F18" s="72">
        <v>242</v>
      </c>
      <c r="G18" s="72"/>
      <c r="H18" s="72">
        <v>265</v>
      </c>
      <c r="I18" s="36">
        <v>0</v>
      </c>
      <c r="J18" s="37"/>
      <c r="K18" s="84">
        <f t="shared" si="1"/>
        <v>-265</v>
      </c>
      <c r="L18" s="85"/>
      <c r="M18" s="102"/>
      <c r="N18" s="108"/>
      <c r="O18" s="102"/>
      <c r="P18" s="108"/>
      <c r="Q18" s="147"/>
      <c r="R18" s="104"/>
      <c r="S18" s="150"/>
      <c r="T18" s="104"/>
    </row>
    <row r="19" spans="2:20" ht="15.5" x14ac:dyDescent="0.35">
      <c r="B19" s="34" t="s">
        <v>4</v>
      </c>
      <c r="C19" s="115" t="s">
        <v>58</v>
      </c>
      <c r="D19" s="39" t="s">
        <v>137</v>
      </c>
      <c r="E19" s="72" t="s">
        <v>14</v>
      </c>
      <c r="F19" s="72">
        <v>235</v>
      </c>
      <c r="G19" s="72">
        <v>245</v>
      </c>
      <c r="H19" s="72">
        <v>265</v>
      </c>
      <c r="I19" s="36">
        <v>0</v>
      </c>
      <c r="J19" s="37"/>
      <c r="K19" s="84">
        <f t="shared" si="1"/>
        <v>-265</v>
      </c>
      <c r="L19" s="85"/>
      <c r="M19" s="102"/>
      <c r="N19" s="108"/>
      <c r="O19" s="102"/>
      <c r="P19" s="108"/>
      <c r="Q19" s="147"/>
      <c r="R19" s="104"/>
      <c r="S19" s="150"/>
      <c r="T19" s="104"/>
    </row>
    <row r="20" spans="2:20" x14ac:dyDescent="0.35">
      <c r="B20" s="34" t="s">
        <v>40</v>
      </c>
      <c r="C20" s="35" t="s">
        <v>76</v>
      </c>
      <c r="D20" s="35" t="s">
        <v>138</v>
      </c>
      <c r="E20" s="72" t="s">
        <v>14</v>
      </c>
      <c r="F20" s="72"/>
      <c r="G20" s="72">
        <v>253</v>
      </c>
      <c r="H20" s="72">
        <v>265</v>
      </c>
      <c r="I20" s="36">
        <v>0</v>
      </c>
      <c r="J20" s="37"/>
      <c r="K20" s="84">
        <f t="shared" si="1"/>
        <v>-265</v>
      </c>
      <c r="L20" s="85"/>
      <c r="M20" s="102"/>
      <c r="N20" s="108"/>
      <c r="O20" s="102"/>
      <c r="P20" s="108"/>
      <c r="Q20" s="147"/>
      <c r="R20" s="104"/>
      <c r="S20" s="150"/>
      <c r="T20" s="104"/>
    </row>
    <row r="21" spans="2:20" ht="15" thickBot="1" x14ac:dyDescent="0.4">
      <c r="B21" s="34" t="s">
        <v>40</v>
      </c>
      <c r="C21" s="35" t="s">
        <v>77</v>
      </c>
      <c r="D21" s="35" t="s">
        <v>139</v>
      </c>
      <c r="E21" s="72" t="s">
        <v>14</v>
      </c>
      <c r="F21" s="72"/>
      <c r="G21" s="72">
        <v>238</v>
      </c>
      <c r="H21" s="72">
        <v>265</v>
      </c>
      <c r="I21" s="36">
        <v>0</v>
      </c>
      <c r="J21" s="37"/>
      <c r="K21" s="84">
        <f t="shared" si="1"/>
        <v>-265</v>
      </c>
      <c r="L21" s="85"/>
      <c r="M21" s="102"/>
      <c r="N21" s="108"/>
      <c r="O21" s="102"/>
      <c r="P21" s="108"/>
      <c r="Q21" s="147"/>
      <c r="R21" s="104"/>
      <c r="S21" s="150"/>
      <c r="T21" s="104"/>
    </row>
    <row r="22" spans="2:20" ht="15" hidden="1" thickBot="1" x14ac:dyDescent="0.4">
      <c r="B22" s="34"/>
      <c r="C22" s="35"/>
      <c r="D22" s="35"/>
      <c r="E22" s="72" t="s">
        <v>14</v>
      </c>
      <c r="F22" s="72"/>
      <c r="G22" s="72"/>
      <c r="H22" s="72">
        <v>265</v>
      </c>
      <c r="I22" s="36">
        <v>0</v>
      </c>
      <c r="J22" s="37"/>
      <c r="K22" s="84">
        <f t="shared" ref="K22:K23" si="2">SUM(I22-H22)</f>
        <v>-265</v>
      </c>
      <c r="L22" s="85"/>
      <c r="M22" s="102"/>
      <c r="N22" s="108"/>
      <c r="O22" s="102"/>
      <c r="P22" s="108"/>
      <c r="Q22" s="147"/>
      <c r="R22" s="104"/>
      <c r="S22" s="150"/>
      <c r="T22" s="104"/>
    </row>
    <row r="23" spans="2:20" ht="15" hidden="1" thickBot="1" x14ac:dyDescent="0.4">
      <c r="B23" s="34"/>
      <c r="C23" s="35"/>
      <c r="D23" s="35"/>
      <c r="E23" s="72" t="s">
        <v>14</v>
      </c>
      <c r="F23" s="72"/>
      <c r="G23" s="72"/>
      <c r="H23" s="72">
        <v>265</v>
      </c>
      <c r="I23" s="36">
        <v>0</v>
      </c>
      <c r="J23" s="37"/>
      <c r="K23" s="84">
        <f t="shared" si="2"/>
        <v>-265</v>
      </c>
      <c r="L23" s="85"/>
      <c r="M23" s="102"/>
      <c r="N23" s="108"/>
      <c r="O23" s="102"/>
      <c r="P23" s="108"/>
      <c r="Q23" s="147"/>
      <c r="R23" s="104"/>
      <c r="S23" s="150"/>
      <c r="T23" s="104"/>
    </row>
    <row r="24" spans="2:20" ht="15" hidden="1" thickBot="1" x14ac:dyDescent="0.4">
      <c r="B24" s="40"/>
      <c r="C24" s="41"/>
      <c r="D24" s="41"/>
      <c r="E24" s="73"/>
      <c r="F24" s="73"/>
      <c r="G24" s="73"/>
      <c r="H24" s="73"/>
      <c r="I24" s="41"/>
      <c r="J24" s="41"/>
      <c r="K24" s="86"/>
      <c r="L24" s="86"/>
      <c r="M24" s="103" t="s">
        <v>2</v>
      </c>
      <c r="N24" s="110" t="s">
        <v>2</v>
      </c>
      <c r="O24" s="103"/>
      <c r="P24" s="110"/>
      <c r="Q24" s="147"/>
      <c r="R24" s="104"/>
      <c r="S24" s="150"/>
      <c r="T24" s="104"/>
    </row>
    <row r="25" spans="2:20" ht="21" x14ac:dyDescent="0.5">
      <c r="B25" s="80" t="s">
        <v>0</v>
      </c>
      <c r="C25" s="81" t="s">
        <v>1</v>
      </c>
      <c r="D25" s="81"/>
      <c r="E25" s="82" t="s">
        <v>7</v>
      </c>
      <c r="F25" s="82" t="s">
        <v>44</v>
      </c>
      <c r="G25" s="82" t="s">
        <v>45</v>
      </c>
      <c r="H25" s="82" t="s">
        <v>32</v>
      </c>
      <c r="I25" s="82" t="s">
        <v>3</v>
      </c>
      <c r="J25" s="82" t="s">
        <v>29</v>
      </c>
      <c r="K25" s="83" t="s">
        <v>38</v>
      </c>
      <c r="L25" s="83" t="s">
        <v>27</v>
      </c>
      <c r="M25" s="103"/>
      <c r="N25" s="110"/>
      <c r="O25" s="103"/>
      <c r="P25" s="110"/>
      <c r="Q25" s="147"/>
      <c r="R25" s="104"/>
      <c r="S25" s="150"/>
      <c r="T25" s="104"/>
    </row>
    <row r="26" spans="2:20" x14ac:dyDescent="0.35">
      <c r="B26" s="42" t="s">
        <v>4</v>
      </c>
      <c r="C26" s="43" t="s">
        <v>59</v>
      </c>
      <c r="D26" s="43" t="s">
        <v>140</v>
      </c>
      <c r="E26" s="74" t="s">
        <v>35</v>
      </c>
      <c r="F26" s="74">
        <v>279</v>
      </c>
      <c r="G26" s="74">
        <v>284</v>
      </c>
      <c r="H26" s="74">
        <v>265</v>
      </c>
      <c r="I26" s="44">
        <v>0</v>
      </c>
      <c r="J26" s="45"/>
      <c r="K26" s="87">
        <f t="shared" ref="K26:K44" si="3">SUM(I26-H26)</f>
        <v>-265</v>
      </c>
      <c r="L26" s="88"/>
      <c r="M26" s="104"/>
      <c r="N26" s="111"/>
      <c r="O26" s="104"/>
      <c r="P26" s="111"/>
      <c r="Q26" s="147"/>
      <c r="R26" s="104"/>
      <c r="S26" s="150"/>
      <c r="T26" s="104"/>
    </row>
    <row r="27" spans="2:20" x14ac:dyDescent="0.35">
      <c r="B27" s="42" t="s">
        <v>28</v>
      </c>
      <c r="C27" s="43" t="s">
        <v>75</v>
      </c>
      <c r="D27" s="43" t="s">
        <v>141</v>
      </c>
      <c r="E27" s="74" t="s">
        <v>35</v>
      </c>
      <c r="F27" s="74">
        <v>273</v>
      </c>
      <c r="G27" s="74">
        <v>277</v>
      </c>
      <c r="H27" s="74">
        <v>265</v>
      </c>
      <c r="I27" s="44">
        <v>0</v>
      </c>
      <c r="J27" s="45"/>
      <c r="K27" s="87">
        <f t="shared" si="3"/>
        <v>-265</v>
      </c>
      <c r="L27" s="88"/>
      <c r="M27" s="104"/>
      <c r="N27" s="111"/>
      <c r="O27" s="104"/>
      <c r="P27" s="111"/>
      <c r="Q27" s="147"/>
      <c r="R27" s="104"/>
      <c r="S27" s="150"/>
      <c r="T27" s="104"/>
    </row>
    <row r="28" spans="2:20" ht="15.5" x14ac:dyDescent="0.35">
      <c r="B28" s="46" t="s">
        <v>28</v>
      </c>
      <c r="C28" s="47" t="s">
        <v>71</v>
      </c>
      <c r="D28" s="47" t="s">
        <v>142</v>
      </c>
      <c r="E28" s="74" t="s">
        <v>35</v>
      </c>
      <c r="F28" s="74">
        <v>272</v>
      </c>
      <c r="G28" s="74">
        <v>275</v>
      </c>
      <c r="H28" s="74">
        <v>265</v>
      </c>
      <c r="I28" s="44">
        <v>0</v>
      </c>
      <c r="J28" s="45"/>
      <c r="K28" s="87">
        <f t="shared" si="3"/>
        <v>-265</v>
      </c>
      <c r="L28" s="88"/>
      <c r="M28" s="104"/>
      <c r="N28" s="111"/>
      <c r="O28" s="104"/>
      <c r="P28" s="111"/>
      <c r="Q28" s="147"/>
      <c r="R28" s="104"/>
      <c r="S28" s="150"/>
      <c r="T28" s="104"/>
    </row>
    <row r="29" spans="2:20" x14ac:dyDescent="0.35">
      <c r="B29" s="42" t="s">
        <v>25</v>
      </c>
      <c r="C29" s="43" t="s">
        <v>87</v>
      </c>
      <c r="D29" s="43" t="s">
        <v>143</v>
      </c>
      <c r="E29" s="74" t="s">
        <v>35</v>
      </c>
      <c r="F29" s="74">
        <v>267</v>
      </c>
      <c r="G29" s="74"/>
      <c r="H29" s="74">
        <v>265</v>
      </c>
      <c r="I29" s="44">
        <v>0</v>
      </c>
      <c r="J29" s="45"/>
      <c r="K29" s="87">
        <f t="shared" si="3"/>
        <v>-265</v>
      </c>
      <c r="L29" s="88"/>
      <c r="M29" s="104"/>
      <c r="N29" s="111"/>
      <c r="O29" s="104"/>
      <c r="P29" s="111"/>
      <c r="Q29" s="147"/>
      <c r="R29" s="104"/>
      <c r="S29" s="150"/>
      <c r="T29" s="104"/>
    </row>
    <row r="30" spans="2:20" x14ac:dyDescent="0.35">
      <c r="B30" s="42" t="s">
        <v>28</v>
      </c>
      <c r="C30" s="43" t="s">
        <v>74</v>
      </c>
      <c r="D30" s="43" t="s">
        <v>144</v>
      </c>
      <c r="E30" s="74" t="s">
        <v>35</v>
      </c>
      <c r="F30" s="74">
        <v>256</v>
      </c>
      <c r="G30" s="74">
        <v>265</v>
      </c>
      <c r="H30" s="74">
        <v>265</v>
      </c>
      <c r="I30" s="44">
        <v>0</v>
      </c>
      <c r="J30" s="45"/>
      <c r="K30" s="87">
        <f t="shared" si="3"/>
        <v>-265</v>
      </c>
      <c r="L30" s="88"/>
      <c r="M30" s="104"/>
      <c r="N30" s="111"/>
      <c r="O30" s="104"/>
      <c r="P30" s="111"/>
      <c r="Q30" s="147"/>
      <c r="R30" s="104"/>
      <c r="S30" s="150"/>
      <c r="T30" s="104"/>
    </row>
    <row r="31" spans="2:20" x14ac:dyDescent="0.35">
      <c r="B31" s="42" t="s">
        <v>43</v>
      </c>
      <c r="C31" s="43" t="s">
        <v>49</v>
      </c>
      <c r="D31" s="43" t="s">
        <v>145</v>
      </c>
      <c r="E31" s="74" t="s">
        <v>35</v>
      </c>
      <c r="F31" s="74">
        <v>251</v>
      </c>
      <c r="G31" s="74">
        <v>259</v>
      </c>
      <c r="H31" s="74">
        <v>265</v>
      </c>
      <c r="I31" s="44">
        <v>0</v>
      </c>
      <c r="J31" s="45"/>
      <c r="K31" s="87">
        <f t="shared" si="3"/>
        <v>-265</v>
      </c>
      <c r="L31" s="88"/>
      <c r="M31" s="104"/>
      <c r="N31" s="111"/>
      <c r="O31" s="104"/>
      <c r="P31" s="111"/>
      <c r="Q31" s="147"/>
      <c r="R31" s="104"/>
      <c r="S31" s="150"/>
      <c r="T31" s="104"/>
    </row>
    <row r="32" spans="2:20" x14ac:dyDescent="0.35">
      <c r="B32" s="42" t="s">
        <v>43</v>
      </c>
      <c r="C32" s="43" t="s">
        <v>50</v>
      </c>
      <c r="D32" s="43" t="s">
        <v>146</v>
      </c>
      <c r="E32" s="74" t="s">
        <v>35</v>
      </c>
      <c r="F32" s="74">
        <v>250</v>
      </c>
      <c r="G32" s="74">
        <v>259</v>
      </c>
      <c r="H32" s="74">
        <v>265</v>
      </c>
      <c r="I32" s="44">
        <v>0</v>
      </c>
      <c r="J32" s="45"/>
      <c r="K32" s="87">
        <f t="shared" si="3"/>
        <v>-265</v>
      </c>
      <c r="L32" s="88"/>
      <c r="M32" s="104"/>
      <c r="N32" s="111"/>
      <c r="O32" s="104"/>
      <c r="P32" s="111"/>
      <c r="Q32" s="147"/>
      <c r="R32" s="104"/>
      <c r="S32" s="150"/>
      <c r="T32" s="104"/>
    </row>
    <row r="33" spans="2:20" ht="15.5" x14ac:dyDescent="0.35">
      <c r="B33" s="46" t="s">
        <v>26</v>
      </c>
      <c r="C33" s="47" t="s">
        <v>107</v>
      </c>
      <c r="D33" s="47" t="s">
        <v>147</v>
      </c>
      <c r="E33" s="74" t="s">
        <v>35</v>
      </c>
      <c r="F33" s="74">
        <v>248</v>
      </c>
      <c r="G33" s="74">
        <v>264</v>
      </c>
      <c r="H33" s="74">
        <v>265</v>
      </c>
      <c r="I33" s="44">
        <v>0</v>
      </c>
      <c r="J33" s="45"/>
      <c r="K33" s="87">
        <f t="shared" si="3"/>
        <v>-265</v>
      </c>
      <c r="L33" s="88"/>
      <c r="M33" s="104"/>
      <c r="N33" s="111"/>
      <c r="O33" s="104"/>
      <c r="P33" s="111"/>
      <c r="Q33" s="147"/>
      <c r="R33" s="104"/>
      <c r="S33" s="150"/>
      <c r="T33" s="104"/>
    </row>
    <row r="34" spans="2:20" x14ac:dyDescent="0.35">
      <c r="B34" s="42" t="s">
        <v>43</v>
      </c>
      <c r="C34" s="43" t="s">
        <v>51</v>
      </c>
      <c r="D34" s="43" t="s">
        <v>148</v>
      </c>
      <c r="E34" s="74" t="s">
        <v>35</v>
      </c>
      <c r="F34" s="74">
        <v>242</v>
      </c>
      <c r="G34" s="74">
        <v>250</v>
      </c>
      <c r="H34" s="74">
        <v>265</v>
      </c>
      <c r="I34" s="44">
        <v>0</v>
      </c>
      <c r="J34" s="45"/>
      <c r="K34" s="87">
        <f t="shared" si="3"/>
        <v>-265</v>
      </c>
      <c r="L34" s="88"/>
      <c r="M34" s="104"/>
      <c r="N34" s="111"/>
      <c r="O34" s="104"/>
      <c r="P34" s="111"/>
      <c r="Q34" s="147"/>
      <c r="R34" s="104"/>
      <c r="S34" s="150"/>
      <c r="T34" s="104"/>
    </row>
    <row r="35" spans="2:20" x14ac:dyDescent="0.35">
      <c r="B35" s="42" t="s">
        <v>25</v>
      </c>
      <c r="C35" s="43" t="s">
        <v>88</v>
      </c>
      <c r="D35" s="43" t="s">
        <v>149</v>
      </c>
      <c r="E35" s="74" t="s">
        <v>35</v>
      </c>
      <c r="F35" s="74">
        <v>242</v>
      </c>
      <c r="G35" s="74"/>
      <c r="H35" s="74">
        <v>265</v>
      </c>
      <c r="I35" s="44">
        <v>0</v>
      </c>
      <c r="J35" s="45"/>
      <c r="K35" s="87">
        <f t="shared" si="3"/>
        <v>-265</v>
      </c>
      <c r="L35" s="88"/>
      <c r="M35" s="104"/>
      <c r="N35" s="111"/>
      <c r="O35" s="104"/>
      <c r="P35" s="111"/>
      <c r="Q35" s="147"/>
      <c r="R35" s="104"/>
      <c r="S35" s="150"/>
      <c r="T35" s="104"/>
    </row>
    <row r="36" spans="2:20" ht="15.5" x14ac:dyDescent="0.35">
      <c r="B36" s="46" t="s">
        <v>26</v>
      </c>
      <c r="C36" s="47" t="s">
        <v>66</v>
      </c>
      <c r="D36" s="47" t="s">
        <v>144</v>
      </c>
      <c r="E36" s="74" t="s">
        <v>35</v>
      </c>
      <c r="F36" s="74"/>
      <c r="G36" s="74">
        <v>270</v>
      </c>
      <c r="H36" s="74">
        <v>265</v>
      </c>
      <c r="I36" s="44">
        <v>0</v>
      </c>
      <c r="J36" s="45"/>
      <c r="K36" s="87">
        <f t="shared" si="3"/>
        <v>-265</v>
      </c>
      <c r="L36" s="88"/>
      <c r="M36" s="104"/>
      <c r="N36" s="111"/>
      <c r="O36" s="104"/>
      <c r="P36" s="111"/>
      <c r="Q36" s="147"/>
      <c r="R36" s="104"/>
      <c r="S36" s="150"/>
      <c r="T36" s="104"/>
    </row>
    <row r="37" spans="2:20" ht="15.5" x14ac:dyDescent="0.35">
      <c r="B37" s="46" t="s">
        <v>26</v>
      </c>
      <c r="C37" s="47" t="s">
        <v>67</v>
      </c>
      <c r="D37" s="47" t="s">
        <v>150</v>
      </c>
      <c r="E37" s="74" t="s">
        <v>35</v>
      </c>
      <c r="F37" s="74"/>
      <c r="G37" s="74">
        <v>260</v>
      </c>
      <c r="H37" s="74">
        <v>265</v>
      </c>
      <c r="I37" s="44">
        <v>0</v>
      </c>
      <c r="J37" s="45"/>
      <c r="K37" s="87">
        <f t="shared" si="3"/>
        <v>-265</v>
      </c>
      <c r="L37" s="88"/>
      <c r="M37" s="104"/>
      <c r="N37" s="111"/>
      <c r="O37" s="104"/>
      <c r="P37" s="111"/>
      <c r="Q37" s="147"/>
      <c r="R37" s="104"/>
      <c r="S37" s="150"/>
      <c r="T37" s="104"/>
    </row>
    <row r="38" spans="2:20" x14ac:dyDescent="0.35">
      <c r="B38" s="42" t="s">
        <v>40</v>
      </c>
      <c r="C38" s="43" t="s">
        <v>78</v>
      </c>
      <c r="D38" s="43" t="s">
        <v>151</v>
      </c>
      <c r="E38" s="74" t="s">
        <v>35</v>
      </c>
      <c r="F38" s="74"/>
      <c r="G38" s="74">
        <v>262</v>
      </c>
      <c r="H38" s="74">
        <v>265</v>
      </c>
      <c r="I38" s="44">
        <v>0</v>
      </c>
      <c r="J38" s="45"/>
      <c r="K38" s="87">
        <f t="shared" si="3"/>
        <v>-265</v>
      </c>
      <c r="L38" s="88"/>
      <c r="M38" s="104"/>
      <c r="N38" s="111"/>
      <c r="O38" s="104"/>
      <c r="P38" s="111"/>
      <c r="Q38" s="147"/>
      <c r="R38" s="104"/>
      <c r="S38" s="150"/>
      <c r="T38" s="104"/>
    </row>
    <row r="39" spans="2:20" ht="15" thickBot="1" x14ac:dyDescent="0.4">
      <c r="B39" s="42" t="s">
        <v>40</v>
      </c>
      <c r="C39" s="43" t="s">
        <v>79</v>
      </c>
      <c r="D39" s="43" t="s">
        <v>152</v>
      </c>
      <c r="E39" s="74" t="s">
        <v>35</v>
      </c>
      <c r="F39" s="74"/>
      <c r="G39" s="74">
        <v>264</v>
      </c>
      <c r="H39" s="74">
        <v>265</v>
      </c>
      <c r="I39" s="44">
        <v>0</v>
      </c>
      <c r="J39" s="45"/>
      <c r="K39" s="87">
        <f t="shared" si="3"/>
        <v>-265</v>
      </c>
      <c r="L39" s="88"/>
      <c r="M39" s="104"/>
      <c r="N39" s="111"/>
      <c r="O39" s="104"/>
      <c r="P39" s="111"/>
      <c r="Q39" s="147"/>
      <c r="R39" s="104"/>
      <c r="S39" s="150"/>
      <c r="T39" s="104"/>
    </row>
    <row r="40" spans="2:20" ht="15" hidden="1" thickBot="1" x14ac:dyDescent="0.4">
      <c r="B40" s="42"/>
      <c r="C40" s="43"/>
      <c r="D40" s="43"/>
      <c r="E40" s="74" t="s">
        <v>35</v>
      </c>
      <c r="F40" s="74"/>
      <c r="G40" s="74"/>
      <c r="H40" s="74">
        <v>265</v>
      </c>
      <c r="I40" s="44">
        <v>0</v>
      </c>
      <c r="J40" s="45"/>
      <c r="K40" s="87">
        <f t="shared" si="3"/>
        <v>-265</v>
      </c>
      <c r="L40" s="88"/>
      <c r="M40" s="104"/>
      <c r="N40" s="111"/>
      <c r="O40" s="104"/>
      <c r="P40" s="111"/>
      <c r="Q40" s="147"/>
      <c r="R40" s="104"/>
      <c r="S40" s="150"/>
      <c r="T40" s="104"/>
    </row>
    <row r="41" spans="2:20" ht="15" hidden="1" thickBot="1" x14ac:dyDescent="0.4">
      <c r="B41" s="42"/>
      <c r="C41" s="43"/>
      <c r="D41" s="43"/>
      <c r="E41" s="74" t="s">
        <v>35</v>
      </c>
      <c r="F41" s="74"/>
      <c r="G41" s="74"/>
      <c r="H41" s="74">
        <v>265</v>
      </c>
      <c r="I41" s="44">
        <v>0</v>
      </c>
      <c r="J41" s="45"/>
      <c r="K41" s="87">
        <f t="shared" si="3"/>
        <v>-265</v>
      </c>
      <c r="L41" s="88"/>
      <c r="M41" s="104"/>
      <c r="N41" s="111"/>
      <c r="O41" s="104"/>
      <c r="P41" s="111"/>
      <c r="Q41" s="147"/>
      <c r="R41" s="104"/>
      <c r="S41" s="150"/>
      <c r="T41" s="104"/>
    </row>
    <row r="42" spans="2:20" ht="15" hidden="1" thickBot="1" x14ac:dyDescent="0.4">
      <c r="B42" s="42"/>
      <c r="C42" s="43"/>
      <c r="D42" s="43"/>
      <c r="E42" s="74" t="s">
        <v>35</v>
      </c>
      <c r="F42" s="74"/>
      <c r="G42" s="74"/>
      <c r="H42" s="74">
        <v>265</v>
      </c>
      <c r="I42" s="44">
        <v>0</v>
      </c>
      <c r="J42" s="45"/>
      <c r="K42" s="87">
        <f t="shared" si="3"/>
        <v>-265</v>
      </c>
      <c r="L42" s="88"/>
      <c r="M42" s="104"/>
      <c r="N42" s="111"/>
      <c r="O42" s="104"/>
      <c r="P42" s="111"/>
      <c r="Q42" s="147"/>
      <c r="R42" s="104"/>
      <c r="S42" s="150"/>
      <c r="T42" s="104"/>
    </row>
    <row r="43" spans="2:20" ht="15" hidden="1" thickBot="1" x14ac:dyDescent="0.4">
      <c r="B43" s="42"/>
      <c r="C43" s="43"/>
      <c r="D43" s="43"/>
      <c r="E43" s="74" t="s">
        <v>35</v>
      </c>
      <c r="F43" s="74"/>
      <c r="G43" s="74"/>
      <c r="H43" s="74">
        <v>265</v>
      </c>
      <c r="I43" s="44">
        <v>0</v>
      </c>
      <c r="J43" s="45"/>
      <c r="K43" s="87">
        <f t="shared" si="3"/>
        <v>-265</v>
      </c>
      <c r="L43" s="88"/>
      <c r="M43" s="104"/>
      <c r="N43" s="111"/>
      <c r="O43" s="104"/>
      <c r="P43" s="111"/>
      <c r="Q43" s="147"/>
      <c r="R43" s="104"/>
      <c r="S43" s="150"/>
      <c r="T43" s="104"/>
    </row>
    <row r="44" spans="2:20" ht="15" hidden="1" thickBot="1" x14ac:dyDescent="0.4">
      <c r="B44" s="42"/>
      <c r="C44" s="43"/>
      <c r="D44" s="43"/>
      <c r="E44" s="74" t="s">
        <v>35</v>
      </c>
      <c r="F44" s="74"/>
      <c r="G44" s="74"/>
      <c r="H44" s="74">
        <v>265</v>
      </c>
      <c r="I44" s="44">
        <v>0</v>
      </c>
      <c r="J44" s="45"/>
      <c r="K44" s="87">
        <f t="shared" si="3"/>
        <v>-265</v>
      </c>
      <c r="L44" s="88"/>
      <c r="M44" s="104"/>
      <c r="N44" s="111"/>
      <c r="O44" s="104"/>
      <c r="P44" s="111"/>
      <c r="Q44" s="147"/>
      <c r="R44" s="104"/>
      <c r="S44" s="150"/>
      <c r="T44" s="104"/>
    </row>
    <row r="45" spans="2:20" ht="15" hidden="1" thickBot="1" x14ac:dyDescent="0.4">
      <c r="B45" s="42"/>
      <c r="C45" s="43"/>
      <c r="D45" s="43"/>
      <c r="E45" s="74"/>
      <c r="F45" s="74"/>
      <c r="G45" s="74"/>
      <c r="H45" s="74"/>
      <c r="I45" s="44"/>
      <c r="J45" s="45"/>
      <c r="K45" s="87"/>
      <c r="L45" s="88"/>
      <c r="M45" s="104"/>
      <c r="N45" s="111"/>
      <c r="O45" s="104"/>
      <c r="P45" s="111"/>
      <c r="Q45" s="147"/>
      <c r="R45" s="104"/>
      <c r="S45" s="150"/>
      <c r="T45" s="104"/>
    </row>
    <row r="46" spans="2:20" ht="21" x14ac:dyDescent="0.5">
      <c r="B46" s="80" t="s">
        <v>0</v>
      </c>
      <c r="C46" s="81" t="s">
        <v>1</v>
      </c>
      <c r="D46" s="81"/>
      <c r="E46" s="82" t="s">
        <v>7</v>
      </c>
      <c r="F46" s="82" t="s">
        <v>44</v>
      </c>
      <c r="G46" s="82" t="s">
        <v>45</v>
      </c>
      <c r="H46" s="82" t="s">
        <v>32</v>
      </c>
      <c r="I46" s="82" t="s">
        <v>3</v>
      </c>
      <c r="J46" s="82" t="s">
        <v>29</v>
      </c>
      <c r="K46" s="83" t="s">
        <v>38</v>
      </c>
      <c r="L46" s="83" t="s">
        <v>27</v>
      </c>
      <c r="M46" s="104"/>
      <c r="N46" s="111"/>
      <c r="O46" s="104"/>
      <c r="P46" s="111"/>
      <c r="Q46" s="147"/>
      <c r="R46" s="104"/>
      <c r="S46" s="150"/>
      <c r="T46" s="104"/>
    </row>
    <row r="47" spans="2:20" x14ac:dyDescent="0.35">
      <c r="B47" s="48" t="s">
        <v>26</v>
      </c>
      <c r="C47" s="49" t="s">
        <v>60</v>
      </c>
      <c r="D47" s="49" t="s">
        <v>153</v>
      </c>
      <c r="E47" s="75" t="s">
        <v>13</v>
      </c>
      <c r="F47" s="75">
        <v>299</v>
      </c>
      <c r="G47" s="75">
        <v>299</v>
      </c>
      <c r="H47" s="75">
        <v>280</v>
      </c>
      <c r="I47" s="50">
        <v>0</v>
      </c>
      <c r="J47" s="51"/>
      <c r="K47" s="89">
        <f t="shared" ref="K47:K55" si="4">SUM(I47-H47)</f>
        <v>-280</v>
      </c>
      <c r="L47" s="95"/>
      <c r="M47" s="104"/>
      <c r="N47" s="111"/>
      <c r="O47" s="104"/>
      <c r="P47" s="111"/>
      <c r="Q47" s="147"/>
      <c r="R47" s="104"/>
      <c r="S47" s="150"/>
      <c r="T47" s="104"/>
    </row>
    <row r="48" spans="2:20" x14ac:dyDescent="0.35">
      <c r="B48" s="48" t="s">
        <v>4</v>
      </c>
      <c r="C48" s="49" t="s">
        <v>53</v>
      </c>
      <c r="D48" s="49" t="s">
        <v>154</v>
      </c>
      <c r="E48" s="75" t="s">
        <v>13</v>
      </c>
      <c r="F48" s="75">
        <v>298</v>
      </c>
      <c r="G48" s="75">
        <v>299</v>
      </c>
      <c r="H48" s="75">
        <v>280</v>
      </c>
      <c r="I48" s="50">
        <v>0</v>
      </c>
      <c r="J48" s="51"/>
      <c r="K48" s="89">
        <f t="shared" si="4"/>
        <v>-280</v>
      </c>
      <c r="L48" s="95"/>
      <c r="M48" s="104"/>
      <c r="N48" s="111"/>
      <c r="O48" s="104"/>
      <c r="P48" s="111"/>
      <c r="Q48" s="147"/>
      <c r="R48" s="104"/>
      <c r="S48" s="150"/>
      <c r="T48" s="104"/>
    </row>
    <row r="49" spans="2:20" x14ac:dyDescent="0.35">
      <c r="B49" s="48" t="s">
        <v>90</v>
      </c>
      <c r="C49" s="49" t="s">
        <v>89</v>
      </c>
      <c r="D49" s="49" t="s">
        <v>155</v>
      </c>
      <c r="E49" s="75" t="s">
        <v>13</v>
      </c>
      <c r="F49" s="75">
        <v>290</v>
      </c>
      <c r="G49" s="75"/>
      <c r="H49" s="75">
        <v>280</v>
      </c>
      <c r="I49" s="50">
        <v>0</v>
      </c>
      <c r="J49" s="51"/>
      <c r="K49" s="89">
        <f t="shared" si="4"/>
        <v>-280</v>
      </c>
      <c r="L49" s="95"/>
      <c r="M49" s="104"/>
      <c r="N49" s="111"/>
      <c r="O49" s="104"/>
      <c r="P49" s="111"/>
      <c r="Q49" s="147"/>
      <c r="R49" s="104"/>
      <c r="S49" s="150"/>
      <c r="T49" s="104"/>
    </row>
    <row r="50" spans="2:20" ht="15" thickBot="1" x14ac:dyDescent="0.4">
      <c r="B50" s="48" t="s">
        <v>4</v>
      </c>
      <c r="C50" s="49" t="s">
        <v>52</v>
      </c>
      <c r="D50" s="49" t="s">
        <v>156</v>
      </c>
      <c r="E50" s="75" t="s">
        <v>13</v>
      </c>
      <c r="F50" s="75"/>
      <c r="G50" s="75">
        <v>299</v>
      </c>
      <c r="H50" s="75">
        <v>280</v>
      </c>
      <c r="I50" s="50">
        <v>0</v>
      </c>
      <c r="J50" s="51"/>
      <c r="K50" s="89">
        <f t="shared" si="4"/>
        <v>-280</v>
      </c>
      <c r="L50" s="95"/>
      <c r="M50" s="104"/>
      <c r="N50" s="111"/>
      <c r="O50" s="104"/>
      <c r="P50" s="111"/>
      <c r="Q50" s="147"/>
      <c r="R50" s="104"/>
      <c r="S50" s="150"/>
      <c r="T50" s="104"/>
    </row>
    <row r="51" spans="2:20" ht="16" hidden="1" thickBot="1" x14ac:dyDescent="0.4">
      <c r="B51" s="52"/>
      <c r="C51" s="53"/>
      <c r="D51" s="53"/>
      <c r="E51" s="75" t="s">
        <v>13</v>
      </c>
      <c r="F51" s="75"/>
      <c r="G51" s="75"/>
      <c r="H51" s="75">
        <v>280</v>
      </c>
      <c r="I51" s="50">
        <v>0</v>
      </c>
      <c r="J51" s="51"/>
      <c r="K51" s="89">
        <f t="shared" si="4"/>
        <v>-280</v>
      </c>
      <c r="L51" s="95"/>
      <c r="M51" s="104"/>
      <c r="N51" s="111"/>
      <c r="O51" s="104"/>
      <c r="P51" s="111"/>
      <c r="Q51" s="147"/>
      <c r="R51" s="104"/>
      <c r="S51" s="150"/>
      <c r="T51" s="104"/>
    </row>
    <row r="52" spans="2:20" ht="16" hidden="1" thickBot="1" x14ac:dyDescent="0.4">
      <c r="B52" s="52"/>
      <c r="C52" s="53"/>
      <c r="D52" s="53"/>
      <c r="E52" s="75" t="s">
        <v>13</v>
      </c>
      <c r="F52" s="75"/>
      <c r="G52" s="75"/>
      <c r="H52" s="75">
        <v>280</v>
      </c>
      <c r="I52" s="50">
        <v>0</v>
      </c>
      <c r="J52" s="51"/>
      <c r="K52" s="89">
        <f t="shared" si="4"/>
        <v>-280</v>
      </c>
      <c r="L52" s="95"/>
      <c r="M52" s="104"/>
      <c r="N52" s="111"/>
      <c r="O52" s="104"/>
      <c r="P52" s="111"/>
      <c r="Q52" s="147"/>
      <c r="R52" s="104"/>
      <c r="S52" s="150"/>
      <c r="T52" s="104"/>
    </row>
    <row r="53" spans="2:20" ht="16" hidden="1" thickBot="1" x14ac:dyDescent="0.4">
      <c r="B53" s="52"/>
      <c r="C53" s="53"/>
      <c r="D53" s="53"/>
      <c r="E53" s="75" t="s">
        <v>13</v>
      </c>
      <c r="F53" s="75"/>
      <c r="G53" s="75"/>
      <c r="H53" s="75">
        <v>280</v>
      </c>
      <c r="I53" s="50">
        <v>0</v>
      </c>
      <c r="J53" s="51"/>
      <c r="K53" s="89">
        <f t="shared" si="4"/>
        <v>-280</v>
      </c>
      <c r="L53" s="95"/>
      <c r="M53" s="104"/>
      <c r="N53" s="111"/>
      <c r="O53" s="104"/>
      <c r="P53" s="111"/>
      <c r="Q53" s="147"/>
      <c r="R53" s="104"/>
      <c r="S53" s="150"/>
      <c r="T53" s="104"/>
    </row>
    <row r="54" spans="2:20" ht="16" hidden="1" thickBot="1" x14ac:dyDescent="0.4">
      <c r="B54" s="52"/>
      <c r="C54" s="53"/>
      <c r="D54" s="53"/>
      <c r="E54" s="75" t="s">
        <v>13</v>
      </c>
      <c r="F54" s="75"/>
      <c r="G54" s="75"/>
      <c r="H54" s="75">
        <v>280</v>
      </c>
      <c r="I54" s="50">
        <v>0</v>
      </c>
      <c r="J54" s="51"/>
      <c r="K54" s="89">
        <f t="shared" si="4"/>
        <v>-280</v>
      </c>
      <c r="L54" s="95"/>
      <c r="M54" s="104"/>
      <c r="N54" s="111"/>
      <c r="O54" s="104"/>
      <c r="P54" s="111"/>
      <c r="Q54" s="147"/>
      <c r="R54" s="104"/>
      <c r="S54" s="150"/>
      <c r="T54" s="104"/>
    </row>
    <row r="55" spans="2:20" ht="15" hidden="1" thickBot="1" x14ac:dyDescent="0.4">
      <c r="B55" s="48"/>
      <c r="C55" s="49"/>
      <c r="D55" s="49"/>
      <c r="E55" s="75" t="s">
        <v>13</v>
      </c>
      <c r="F55" s="75"/>
      <c r="G55" s="75"/>
      <c r="H55" s="75">
        <v>280</v>
      </c>
      <c r="I55" s="50">
        <v>0</v>
      </c>
      <c r="J55" s="51"/>
      <c r="K55" s="89">
        <f t="shared" si="4"/>
        <v>-280</v>
      </c>
      <c r="L55" s="95"/>
      <c r="M55" s="104"/>
      <c r="N55" s="111"/>
      <c r="O55" s="104"/>
      <c r="P55" s="111"/>
      <c r="Q55" s="147"/>
      <c r="R55" s="104"/>
      <c r="S55" s="150"/>
      <c r="T55" s="104"/>
    </row>
    <row r="56" spans="2:20" ht="15" hidden="1" thickBot="1" x14ac:dyDescent="0.4">
      <c r="B56" s="48"/>
      <c r="C56" s="49"/>
      <c r="D56" s="49"/>
      <c r="E56" s="75"/>
      <c r="F56" s="75"/>
      <c r="G56" s="75"/>
      <c r="H56" s="75"/>
      <c r="I56" s="50"/>
      <c r="J56" s="51"/>
      <c r="K56" s="89"/>
      <c r="L56" s="95"/>
      <c r="M56" s="104"/>
      <c r="N56" s="111"/>
      <c r="O56" s="104"/>
      <c r="P56" s="111"/>
      <c r="Q56" s="147"/>
      <c r="R56" s="104"/>
      <c r="S56" s="150"/>
      <c r="T56" s="104"/>
    </row>
    <row r="57" spans="2:20" ht="21" x14ac:dyDescent="0.5">
      <c r="B57" s="80" t="s">
        <v>0</v>
      </c>
      <c r="C57" s="81" t="s">
        <v>1</v>
      </c>
      <c r="D57" s="81"/>
      <c r="E57" s="82" t="s">
        <v>7</v>
      </c>
      <c r="F57" s="82" t="s">
        <v>44</v>
      </c>
      <c r="G57" s="82" t="s">
        <v>45</v>
      </c>
      <c r="H57" s="82" t="s">
        <v>32</v>
      </c>
      <c r="I57" s="82" t="s">
        <v>3</v>
      </c>
      <c r="J57" s="82" t="s">
        <v>29</v>
      </c>
      <c r="K57" s="83" t="s">
        <v>38</v>
      </c>
      <c r="L57" s="83" t="s">
        <v>27</v>
      </c>
      <c r="M57" s="104"/>
      <c r="N57" s="111"/>
      <c r="O57" s="104"/>
      <c r="P57" s="111"/>
      <c r="Q57" s="147"/>
      <c r="R57" s="104"/>
      <c r="S57" s="150"/>
      <c r="T57" s="104"/>
    </row>
    <row r="58" spans="2:20" x14ac:dyDescent="0.35">
      <c r="B58" s="54" t="s">
        <v>26</v>
      </c>
      <c r="C58" s="55" t="s">
        <v>62</v>
      </c>
      <c r="D58" s="55" t="s">
        <v>157</v>
      </c>
      <c r="E58" s="76" t="s">
        <v>23</v>
      </c>
      <c r="F58" s="76">
        <v>298</v>
      </c>
      <c r="G58" s="76">
        <v>299</v>
      </c>
      <c r="H58" s="76">
        <v>280</v>
      </c>
      <c r="I58" s="56">
        <v>0</v>
      </c>
      <c r="J58" s="57"/>
      <c r="K58" s="90">
        <f t="shared" ref="K58:K66" si="5">SUM(I58-H58)</f>
        <v>-280</v>
      </c>
      <c r="L58" s="96"/>
      <c r="M58" s="104"/>
      <c r="N58" s="111"/>
      <c r="O58" s="104"/>
      <c r="P58" s="111"/>
      <c r="Q58" s="147"/>
      <c r="R58" s="104"/>
      <c r="S58" s="150"/>
      <c r="T58" s="104"/>
    </row>
    <row r="59" spans="2:20" x14ac:dyDescent="0.35">
      <c r="B59" s="54" t="s">
        <v>25</v>
      </c>
      <c r="C59" s="55" t="s">
        <v>91</v>
      </c>
      <c r="D59" s="55" t="s">
        <v>158</v>
      </c>
      <c r="E59" s="76" t="s">
        <v>23</v>
      </c>
      <c r="F59" s="76">
        <v>289</v>
      </c>
      <c r="G59" s="76" t="s">
        <v>2</v>
      </c>
      <c r="H59" s="76">
        <v>280</v>
      </c>
      <c r="I59" s="56">
        <v>0</v>
      </c>
      <c r="J59" s="57"/>
      <c r="K59" s="90">
        <f t="shared" si="5"/>
        <v>-280</v>
      </c>
      <c r="L59" s="96"/>
      <c r="M59" s="104"/>
      <c r="N59" s="111"/>
      <c r="O59" s="104"/>
      <c r="P59" s="111"/>
      <c r="Q59" s="147"/>
      <c r="R59" s="104"/>
      <c r="S59" s="150"/>
      <c r="T59" s="104"/>
    </row>
    <row r="60" spans="2:20" x14ac:dyDescent="0.35">
      <c r="B60" s="54" t="s">
        <v>26</v>
      </c>
      <c r="C60" s="55" t="s">
        <v>61</v>
      </c>
      <c r="D60" s="55" t="s">
        <v>159</v>
      </c>
      <c r="E60" s="76" t="s">
        <v>23</v>
      </c>
      <c r="F60" s="76">
        <v>282</v>
      </c>
      <c r="G60" s="76">
        <v>288</v>
      </c>
      <c r="H60" s="76">
        <v>280</v>
      </c>
      <c r="I60" s="56">
        <v>0</v>
      </c>
      <c r="J60" s="57"/>
      <c r="K60" s="90">
        <f t="shared" si="5"/>
        <v>-280</v>
      </c>
      <c r="L60" s="96"/>
      <c r="M60" s="104"/>
      <c r="N60" s="111"/>
      <c r="O60" s="104"/>
      <c r="P60" s="111"/>
      <c r="Q60" s="147"/>
      <c r="R60" s="104"/>
      <c r="S60" s="150"/>
      <c r="T60" s="104"/>
    </row>
    <row r="61" spans="2:20" ht="15" thickBot="1" x14ac:dyDescent="0.4">
      <c r="B61" s="54" t="s">
        <v>4</v>
      </c>
      <c r="C61" s="55" t="s">
        <v>54</v>
      </c>
      <c r="D61" s="55" t="s">
        <v>160</v>
      </c>
      <c r="E61" s="76" t="s">
        <v>23</v>
      </c>
      <c r="F61" s="76">
        <v>236</v>
      </c>
      <c r="G61" s="76">
        <v>257</v>
      </c>
      <c r="H61" s="76">
        <v>280</v>
      </c>
      <c r="I61" s="56">
        <v>0</v>
      </c>
      <c r="J61" s="57"/>
      <c r="K61" s="90">
        <f t="shared" si="5"/>
        <v>-280</v>
      </c>
      <c r="L61" s="96"/>
      <c r="M61" s="104"/>
      <c r="N61" s="111"/>
      <c r="O61" s="104"/>
      <c r="P61" s="111"/>
      <c r="Q61" s="147"/>
      <c r="R61" s="104"/>
      <c r="S61" s="150"/>
      <c r="T61" s="104"/>
    </row>
    <row r="62" spans="2:20" ht="16" hidden="1" thickBot="1" x14ac:dyDescent="0.4">
      <c r="B62" s="58"/>
      <c r="C62" s="59"/>
      <c r="D62" s="59"/>
      <c r="E62" s="76" t="s">
        <v>23</v>
      </c>
      <c r="F62" s="76"/>
      <c r="G62" s="76"/>
      <c r="H62" s="76">
        <v>280</v>
      </c>
      <c r="I62" s="56">
        <v>0</v>
      </c>
      <c r="J62" s="57"/>
      <c r="K62" s="90">
        <f t="shared" si="5"/>
        <v>-280</v>
      </c>
      <c r="L62" s="96"/>
      <c r="M62" s="104"/>
      <c r="N62" s="111"/>
      <c r="O62" s="104"/>
      <c r="P62" s="111"/>
      <c r="Q62" s="147"/>
      <c r="R62" s="104"/>
      <c r="S62" s="150"/>
      <c r="T62" s="104"/>
    </row>
    <row r="63" spans="2:20" ht="16" hidden="1" thickBot="1" x14ac:dyDescent="0.4">
      <c r="B63" s="58"/>
      <c r="C63" s="59"/>
      <c r="D63" s="59"/>
      <c r="E63" s="76" t="s">
        <v>23</v>
      </c>
      <c r="F63" s="76"/>
      <c r="G63" s="76"/>
      <c r="H63" s="76">
        <v>280</v>
      </c>
      <c r="I63" s="56">
        <v>0</v>
      </c>
      <c r="J63" s="57"/>
      <c r="K63" s="90">
        <f t="shared" si="5"/>
        <v>-280</v>
      </c>
      <c r="L63" s="96"/>
      <c r="M63" s="104"/>
      <c r="N63" s="111"/>
      <c r="O63" s="104"/>
      <c r="P63" s="111"/>
      <c r="Q63" s="147"/>
      <c r="R63" s="104"/>
      <c r="S63" s="150"/>
      <c r="T63" s="104"/>
    </row>
    <row r="64" spans="2:20" ht="16" hidden="1" thickBot="1" x14ac:dyDescent="0.4">
      <c r="B64" s="58"/>
      <c r="C64" s="59"/>
      <c r="D64" s="59"/>
      <c r="E64" s="76" t="s">
        <v>23</v>
      </c>
      <c r="F64" s="76"/>
      <c r="G64" s="76"/>
      <c r="H64" s="76">
        <v>280</v>
      </c>
      <c r="I64" s="56">
        <v>0</v>
      </c>
      <c r="J64" s="57"/>
      <c r="K64" s="90">
        <f t="shared" si="5"/>
        <v>-280</v>
      </c>
      <c r="L64" s="96"/>
      <c r="M64" s="104"/>
      <c r="N64" s="111"/>
      <c r="O64" s="104"/>
      <c r="P64" s="111"/>
      <c r="Q64" s="147"/>
      <c r="R64" s="104"/>
      <c r="S64" s="150"/>
      <c r="T64" s="104"/>
    </row>
    <row r="65" spans="2:20" ht="16" hidden="1" thickBot="1" x14ac:dyDescent="0.4">
      <c r="B65" s="58"/>
      <c r="C65" s="59"/>
      <c r="D65" s="59"/>
      <c r="E65" s="76" t="s">
        <v>23</v>
      </c>
      <c r="F65" s="76"/>
      <c r="G65" s="76"/>
      <c r="H65" s="76">
        <v>280</v>
      </c>
      <c r="I65" s="56">
        <v>0</v>
      </c>
      <c r="J65" s="57"/>
      <c r="K65" s="90">
        <f t="shared" si="5"/>
        <v>-280</v>
      </c>
      <c r="L65" s="96"/>
      <c r="M65" s="104"/>
      <c r="N65" s="111"/>
      <c r="O65" s="104"/>
      <c r="P65" s="111"/>
      <c r="Q65" s="147"/>
      <c r="R65" s="104"/>
      <c r="S65" s="150"/>
      <c r="T65" s="104"/>
    </row>
    <row r="66" spans="2:20" ht="15" hidden="1" thickBot="1" x14ac:dyDescent="0.4">
      <c r="B66" s="54"/>
      <c r="C66" s="55"/>
      <c r="D66" s="55"/>
      <c r="E66" s="76" t="s">
        <v>23</v>
      </c>
      <c r="F66" s="76"/>
      <c r="G66" s="76"/>
      <c r="H66" s="76">
        <v>280</v>
      </c>
      <c r="I66" s="56">
        <v>0</v>
      </c>
      <c r="J66" s="57"/>
      <c r="K66" s="90">
        <f t="shared" si="5"/>
        <v>-280</v>
      </c>
      <c r="L66" s="96"/>
      <c r="M66" s="104"/>
      <c r="N66" s="111"/>
      <c r="O66" s="104"/>
      <c r="P66" s="111"/>
      <c r="Q66" s="147"/>
      <c r="R66" s="104"/>
      <c r="S66" s="150"/>
      <c r="T66" s="104"/>
    </row>
    <row r="67" spans="2:20" ht="15" hidden="1" thickBot="1" x14ac:dyDescent="0.4">
      <c r="B67" s="54"/>
      <c r="C67" s="55"/>
      <c r="D67" s="55"/>
      <c r="E67" s="76" t="s">
        <v>2</v>
      </c>
      <c r="F67" s="76"/>
      <c r="G67" s="76"/>
      <c r="H67" s="76" t="s">
        <v>2</v>
      </c>
      <c r="I67" s="56"/>
      <c r="J67" s="57"/>
      <c r="K67" s="90"/>
      <c r="L67" s="96"/>
      <c r="M67" s="104"/>
      <c r="N67" s="111"/>
      <c r="O67" s="104"/>
      <c r="P67" s="111"/>
      <c r="Q67" s="147"/>
      <c r="R67" s="104"/>
      <c r="S67" s="150"/>
      <c r="T67" s="104"/>
    </row>
    <row r="68" spans="2:20" ht="21" x14ac:dyDescent="0.5">
      <c r="B68" s="80" t="s">
        <v>0</v>
      </c>
      <c r="C68" s="81" t="s">
        <v>1</v>
      </c>
      <c r="D68" s="81"/>
      <c r="E68" s="82" t="s">
        <v>7</v>
      </c>
      <c r="F68" s="82" t="s">
        <v>44</v>
      </c>
      <c r="G68" s="82" t="s">
        <v>45</v>
      </c>
      <c r="H68" s="82" t="s">
        <v>32</v>
      </c>
      <c r="I68" s="82" t="s">
        <v>3</v>
      </c>
      <c r="J68" s="82" t="s">
        <v>29</v>
      </c>
      <c r="K68" s="83" t="s">
        <v>38</v>
      </c>
      <c r="L68" s="83" t="s">
        <v>27</v>
      </c>
      <c r="M68" s="104"/>
      <c r="N68" s="111"/>
      <c r="O68" s="104"/>
      <c r="P68" s="111"/>
      <c r="Q68" s="147"/>
      <c r="R68" s="104"/>
      <c r="S68" s="150"/>
      <c r="T68" s="104"/>
    </row>
    <row r="69" spans="2:20" x14ac:dyDescent="0.35">
      <c r="B69" s="60" t="s">
        <v>25</v>
      </c>
      <c r="C69" s="61" t="s">
        <v>92</v>
      </c>
      <c r="D69" s="61" t="s">
        <v>161</v>
      </c>
      <c r="E69" s="77" t="s">
        <v>30</v>
      </c>
      <c r="F69" s="77">
        <v>211</v>
      </c>
      <c r="G69" s="77"/>
      <c r="H69" s="77">
        <v>185</v>
      </c>
      <c r="I69" s="62">
        <v>0</v>
      </c>
      <c r="J69" s="63"/>
      <c r="K69" s="91">
        <f t="shared" ref="K69:K77" si="6">SUM(I69-H69)</f>
        <v>-185</v>
      </c>
      <c r="L69" s="97"/>
      <c r="M69" s="104"/>
      <c r="N69" s="111"/>
      <c r="O69" s="104"/>
      <c r="P69" s="111"/>
      <c r="Q69" s="147"/>
      <c r="R69" s="104"/>
      <c r="S69" s="150"/>
      <c r="T69" s="104"/>
    </row>
    <row r="70" spans="2:20" x14ac:dyDescent="0.35">
      <c r="B70" s="60" t="s">
        <v>40</v>
      </c>
      <c r="C70" s="61" t="s">
        <v>80</v>
      </c>
      <c r="D70" s="61" t="s">
        <v>162</v>
      </c>
      <c r="E70" s="77" t="s">
        <v>30</v>
      </c>
      <c r="F70" s="77"/>
      <c r="G70" s="77">
        <v>175</v>
      </c>
      <c r="H70" s="77">
        <v>185</v>
      </c>
      <c r="I70" s="62">
        <v>0</v>
      </c>
      <c r="J70" s="63"/>
      <c r="K70" s="91">
        <f t="shared" si="6"/>
        <v>-185</v>
      </c>
      <c r="L70" s="97"/>
      <c r="M70" s="104"/>
      <c r="N70" s="111"/>
      <c r="O70" s="104"/>
      <c r="P70" s="111"/>
      <c r="Q70" s="147"/>
      <c r="R70" s="104"/>
      <c r="S70" s="150"/>
      <c r="T70" s="104"/>
    </row>
    <row r="71" spans="2:20" ht="15" thickBot="1" x14ac:dyDescent="0.4">
      <c r="B71" s="60" t="s">
        <v>40</v>
      </c>
      <c r="C71" s="61" t="s">
        <v>81</v>
      </c>
      <c r="D71" s="61" t="s">
        <v>163</v>
      </c>
      <c r="E71" s="77" t="s">
        <v>30</v>
      </c>
      <c r="F71" s="77"/>
      <c r="G71" s="77">
        <v>171</v>
      </c>
      <c r="H71" s="77">
        <v>185</v>
      </c>
      <c r="I71" s="62">
        <v>0</v>
      </c>
      <c r="J71" s="63"/>
      <c r="K71" s="91">
        <f t="shared" si="6"/>
        <v>-185</v>
      </c>
      <c r="L71" s="97"/>
      <c r="M71" s="104"/>
      <c r="N71" s="111"/>
      <c r="O71" s="104"/>
      <c r="P71" s="111"/>
      <c r="Q71" s="147"/>
      <c r="R71" s="104"/>
      <c r="S71" s="150"/>
      <c r="T71" s="104"/>
    </row>
    <row r="72" spans="2:20" ht="15" hidden="1" thickBot="1" x14ac:dyDescent="0.4">
      <c r="B72" s="60"/>
      <c r="C72" s="61"/>
      <c r="D72" s="61"/>
      <c r="E72" s="77" t="s">
        <v>30</v>
      </c>
      <c r="F72" s="77"/>
      <c r="G72" s="77"/>
      <c r="H72" s="77">
        <v>185</v>
      </c>
      <c r="I72" s="62">
        <v>0</v>
      </c>
      <c r="J72" s="63"/>
      <c r="K72" s="91">
        <f t="shared" si="6"/>
        <v>-185</v>
      </c>
      <c r="L72" s="97"/>
      <c r="M72" s="104"/>
      <c r="N72" s="111"/>
      <c r="O72" s="104"/>
      <c r="P72" s="111"/>
      <c r="Q72" s="147"/>
      <c r="R72" s="104"/>
      <c r="S72" s="150"/>
      <c r="T72" s="104"/>
    </row>
    <row r="73" spans="2:20" ht="16" hidden="1" thickBot="1" x14ac:dyDescent="0.4">
      <c r="B73" s="64"/>
      <c r="C73" s="65"/>
      <c r="D73" s="65"/>
      <c r="E73" s="77" t="s">
        <v>30</v>
      </c>
      <c r="F73" s="77"/>
      <c r="G73" s="77"/>
      <c r="H73" s="77">
        <v>185</v>
      </c>
      <c r="I73" s="62">
        <v>0</v>
      </c>
      <c r="J73" s="63"/>
      <c r="K73" s="91">
        <f t="shared" si="6"/>
        <v>-185</v>
      </c>
      <c r="L73" s="97"/>
      <c r="M73" s="104"/>
      <c r="N73" s="111"/>
      <c r="O73" s="104"/>
      <c r="P73" s="111"/>
      <c r="Q73" s="147"/>
      <c r="R73" s="104"/>
      <c r="S73" s="150"/>
      <c r="T73" s="104"/>
    </row>
    <row r="74" spans="2:20" ht="16" hidden="1" thickBot="1" x14ac:dyDescent="0.4">
      <c r="B74" s="64"/>
      <c r="C74" s="65"/>
      <c r="D74" s="65"/>
      <c r="E74" s="77" t="s">
        <v>30</v>
      </c>
      <c r="F74" s="77"/>
      <c r="G74" s="77"/>
      <c r="H74" s="77">
        <v>185</v>
      </c>
      <c r="I74" s="62">
        <v>0</v>
      </c>
      <c r="J74" s="63"/>
      <c r="K74" s="91">
        <f t="shared" si="6"/>
        <v>-185</v>
      </c>
      <c r="L74" s="97"/>
      <c r="M74" s="104"/>
      <c r="N74" s="111"/>
      <c r="O74" s="104"/>
      <c r="P74" s="111"/>
      <c r="Q74" s="147"/>
      <c r="R74" s="104"/>
      <c r="S74" s="150"/>
      <c r="T74" s="104"/>
    </row>
    <row r="75" spans="2:20" ht="16" hidden="1" thickBot="1" x14ac:dyDescent="0.4">
      <c r="B75" s="64"/>
      <c r="C75" s="65"/>
      <c r="D75" s="65"/>
      <c r="E75" s="77" t="s">
        <v>30</v>
      </c>
      <c r="F75" s="77"/>
      <c r="G75" s="77"/>
      <c r="H75" s="77">
        <v>185</v>
      </c>
      <c r="I75" s="62">
        <v>0</v>
      </c>
      <c r="J75" s="63"/>
      <c r="K75" s="91">
        <f t="shared" si="6"/>
        <v>-185</v>
      </c>
      <c r="L75" s="97"/>
      <c r="M75" s="104"/>
      <c r="N75" s="111"/>
      <c r="O75" s="104"/>
      <c r="P75" s="111"/>
      <c r="Q75" s="147"/>
      <c r="R75" s="104"/>
      <c r="S75" s="150"/>
      <c r="T75" s="104"/>
    </row>
    <row r="76" spans="2:20" ht="16" hidden="1" thickBot="1" x14ac:dyDescent="0.4">
      <c r="B76" s="64"/>
      <c r="C76" s="65"/>
      <c r="D76" s="65"/>
      <c r="E76" s="77" t="s">
        <v>30</v>
      </c>
      <c r="F76" s="77"/>
      <c r="G76" s="77"/>
      <c r="H76" s="77">
        <v>185</v>
      </c>
      <c r="I76" s="62">
        <v>0</v>
      </c>
      <c r="J76" s="63"/>
      <c r="K76" s="91">
        <f t="shared" si="6"/>
        <v>-185</v>
      </c>
      <c r="L76" s="97"/>
      <c r="M76" s="104"/>
      <c r="N76" s="111"/>
      <c r="O76" s="104"/>
      <c r="P76" s="111"/>
      <c r="Q76" s="147"/>
      <c r="R76" s="104"/>
      <c r="S76" s="150"/>
      <c r="T76" s="104"/>
    </row>
    <row r="77" spans="2:20" ht="15" hidden="1" thickBot="1" x14ac:dyDescent="0.4">
      <c r="B77" s="60"/>
      <c r="C77" s="61"/>
      <c r="D77" s="61"/>
      <c r="E77" s="77" t="s">
        <v>30</v>
      </c>
      <c r="F77" s="77"/>
      <c r="G77" s="77"/>
      <c r="H77" s="77">
        <v>185</v>
      </c>
      <c r="I77" s="62">
        <v>0</v>
      </c>
      <c r="J77" s="63"/>
      <c r="K77" s="91">
        <f t="shared" si="6"/>
        <v>-185</v>
      </c>
      <c r="L77" s="97"/>
      <c r="M77" s="104"/>
      <c r="N77" s="111"/>
      <c r="O77" s="104"/>
      <c r="P77" s="111"/>
      <c r="Q77" s="147"/>
      <c r="R77" s="104"/>
      <c r="S77" s="150"/>
      <c r="T77" s="104"/>
    </row>
    <row r="78" spans="2:20" ht="15" hidden="1" thickBot="1" x14ac:dyDescent="0.4">
      <c r="B78" s="66"/>
      <c r="C78" s="67"/>
      <c r="D78" s="67"/>
      <c r="E78" s="78"/>
      <c r="F78" s="78"/>
      <c r="G78" s="78"/>
      <c r="H78" s="78"/>
      <c r="I78" s="67"/>
      <c r="J78" s="67"/>
      <c r="K78" s="92"/>
      <c r="L78" s="92"/>
      <c r="M78" s="104"/>
      <c r="N78" s="111"/>
      <c r="O78" s="104"/>
      <c r="P78" s="111"/>
      <c r="Q78" s="147"/>
      <c r="R78" s="104"/>
      <c r="S78" s="150"/>
      <c r="T78" s="104"/>
    </row>
    <row r="79" spans="2:20" ht="21" x14ac:dyDescent="0.5">
      <c r="B79" s="80" t="s">
        <v>0</v>
      </c>
      <c r="C79" s="81" t="s">
        <v>1</v>
      </c>
      <c r="D79" s="81"/>
      <c r="E79" s="82" t="s">
        <v>7</v>
      </c>
      <c r="F79" s="82" t="s">
        <v>44</v>
      </c>
      <c r="G79" s="82" t="s">
        <v>45</v>
      </c>
      <c r="H79" s="82" t="s">
        <v>32</v>
      </c>
      <c r="I79" s="82" t="s">
        <v>3</v>
      </c>
      <c r="J79" s="82" t="s">
        <v>29</v>
      </c>
      <c r="K79" s="83" t="s">
        <v>38</v>
      </c>
      <c r="L79" s="83" t="s">
        <v>27</v>
      </c>
      <c r="M79" s="104"/>
      <c r="N79" s="111"/>
      <c r="O79" s="104"/>
      <c r="P79" s="111"/>
      <c r="Q79" s="147"/>
      <c r="R79" s="104"/>
      <c r="S79" s="150"/>
      <c r="T79" s="104"/>
    </row>
    <row r="80" spans="2:20" x14ac:dyDescent="0.35">
      <c r="B80" s="34" t="s">
        <v>40</v>
      </c>
      <c r="C80" s="35" t="s">
        <v>82</v>
      </c>
      <c r="D80" s="35" t="s">
        <v>164</v>
      </c>
      <c r="E80" s="72" t="s">
        <v>31</v>
      </c>
      <c r="F80" s="72"/>
      <c r="G80" s="72">
        <v>148</v>
      </c>
      <c r="H80" s="72">
        <v>185</v>
      </c>
      <c r="I80" s="36">
        <v>0</v>
      </c>
      <c r="J80" s="37"/>
      <c r="K80" s="84">
        <f t="shared" ref="K80:K88" si="7">SUM(I80-H80)</f>
        <v>-185</v>
      </c>
      <c r="L80" s="85"/>
      <c r="M80" s="104"/>
      <c r="N80" s="111"/>
      <c r="O80" s="104"/>
      <c r="P80" s="111"/>
      <c r="Q80" s="147"/>
      <c r="R80" s="104"/>
      <c r="S80" s="150"/>
      <c r="T80" s="104"/>
    </row>
    <row r="81" spans="2:20" ht="15" thickBot="1" x14ac:dyDescent="0.4">
      <c r="B81" s="34" t="s">
        <v>25</v>
      </c>
      <c r="C81" s="35" t="s">
        <v>93</v>
      </c>
      <c r="D81" s="35" t="s">
        <v>165</v>
      </c>
      <c r="E81" s="72" t="s">
        <v>31</v>
      </c>
      <c r="F81" s="72">
        <v>206</v>
      </c>
      <c r="G81" s="72"/>
      <c r="H81" s="72">
        <v>185</v>
      </c>
      <c r="I81" s="36">
        <v>0</v>
      </c>
      <c r="J81" s="37"/>
      <c r="K81" s="84">
        <f t="shared" si="7"/>
        <v>-185</v>
      </c>
      <c r="L81" s="85"/>
      <c r="M81" s="104"/>
      <c r="N81" s="111"/>
      <c r="O81" s="104"/>
      <c r="P81" s="111"/>
      <c r="Q81" s="147"/>
      <c r="R81" s="104"/>
      <c r="S81" s="150"/>
      <c r="T81" s="104"/>
    </row>
    <row r="82" spans="2:20" ht="15" hidden="1" thickBot="1" x14ac:dyDescent="0.4">
      <c r="B82" s="34"/>
      <c r="C82" s="35"/>
      <c r="D82" s="35"/>
      <c r="E82" s="72" t="s">
        <v>31</v>
      </c>
      <c r="F82" s="72"/>
      <c r="G82" s="72"/>
      <c r="H82" s="72">
        <v>185</v>
      </c>
      <c r="I82" s="36">
        <v>0</v>
      </c>
      <c r="J82" s="37"/>
      <c r="K82" s="84">
        <f t="shared" si="7"/>
        <v>-185</v>
      </c>
      <c r="L82" s="85"/>
      <c r="M82" s="104"/>
      <c r="N82" s="111"/>
      <c r="O82" s="104"/>
      <c r="P82" s="111"/>
      <c r="Q82" s="147"/>
      <c r="R82" s="104"/>
      <c r="S82" s="150"/>
      <c r="T82" s="104"/>
    </row>
    <row r="83" spans="2:20" ht="15" hidden="1" thickBot="1" x14ac:dyDescent="0.4">
      <c r="B83" s="34"/>
      <c r="C83" s="35"/>
      <c r="D83" s="35"/>
      <c r="E83" s="72" t="s">
        <v>31</v>
      </c>
      <c r="F83" s="72"/>
      <c r="G83" s="72"/>
      <c r="H83" s="72">
        <v>185</v>
      </c>
      <c r="I83" s="36">
        <v>0</v>
      </c>
      <c r="J83" s="37"/>
      <c r="K83" s="84">
        <f t="shared" si="7"/>
        <v>-185</v>
      </c>
      <c r="L83" s="85"/>
      <c r="M83" s="104"/>
      <c r="N83" s="111"/>
      <c r="O83" s="104"/>
      <c r="P83" s="111"/>
      <c r="Q83" s="147"/>
      <c r="R83" s="104"/>
      <c r="S83" s="150"/>
      <c r="T83" s="104"/>
    </row>
    <row r="84" spans="2:20" ht="16" hidden="1" thickBot="1" x14ac:dyDescent="0.4">
      <c r="B84" s="38"/>
      <c r="C84" s="39"/>
      <c r="D84" s="39"/>
      <c r="E84" s="72" t="s">
        <v>31</v>
      </c>
      <c r="F84" s="72"/>
      <c r="G84" s="72"/>
      <c r="H84" s="72">
        <v>185</v>
      </c>
      <c r="I84" s="36">
        <v>0</v>
      </c>
      <c r="J84" s="37"/>
      <c r="K84" s="84">
        <f t="shared" si="7"/>
        <v>-185</v>
      </c>
      <c r="L84" s="85"/>
      <c r="M84" s="104"/>
      <c r="N84" s="111"/>
      <c r="O84" s="104"/>
      <c r="P84" s="111"/>
      <c r="Q84" s="147"/>
      <c r="R84" s="104"/>
      <c r="S84" s="150"/>
      <c r="T84" s="104"/>
    </row>
    <row r="85" spans="2:20" ht="16" hidden="1" thickBot="1" x14ac:dyDescent="0.4">
      <c r="B85" s="38"/>
      <c r="C85" s="39"/>
      <c r="D85" s="39"/>
      <c r="E85" s="72" t="s">
        <v>31</v>
      </c>
      <c r="F85" s="72"/>
      <c r="G85" s="72"/>
      <c r="H85" s="72">
        <v>185</v>
      </c>
      <c r="I85" s="36">
        <v>0</v>
      </c>
      <c r="J85" s="37"/>
      <c r="K85" s="84">
        <f t="shared" si="7"/>
        <v>-185</v>
      </c>
      <c r="L85" s="85"/>
      <c r="M85" s="104"/>
      <c r="N85" s="111"/>
      <c r="O85" s="104"/>
      <c r="P85" s="111"/>
      <c r="Q85" s="147"/>
      <c r="R85" s="104"/>
      <c r="S85" s="150"/>
      <c r="T85" s="104"/>
    </row>
    <row r="86" spans="2:20" ht="16" hidden="1" thickBot="1" x14ac:dyDescent="0.4">
      <c r="B86" s="38"/>
      <c r="C86" s="39"/>
      <c r="D86" s="39"/>
      <c r="E86" s="72" t="s">
        <v>31</v>
      </c>
      <c r="F86" s="72"/>
      <c r="G86" s="72"/>
      <c r="H86" s="72">
        <v>185</v>
      </c>
      <c r="I86" s="36">
        <v>0</v>
      </c>
      <c r="J86" s="37"/>
      <c r="K86" s="84">
        <f t="shared" si="7"/>
        <v>-185</v>
      </c>
      <c r="L86" s="85"/>
      <c r="M86" s="104"/>
      <c r="N86" s="111"/>
      <c r="O86" s="104"/>
      <c r="P86" s="111"/>
      <c r="Q86" s="147"/>
      <c r="R86" s="104"/>
      <c r="S86" s="150"/>
      <c r="T86" s="104"/>
    </row>
    <row r="87" spans="2:20" ht="16" hidden="1" thickBot="1" x14ac:dyDescent="0.4">
      <c r="B87" s="38"/>
      <c r="C87" s="39"/>
      <c r="D87" s="39"/>
      <c r="E87" s="72" t="s">
        <v>31</v>
      </c>
      <c r="F87" s="72"/>
      <c r="G87" s="72"/>
      <c r="H87" s="72">
        <v>185</v>
      </c>
      <c r="I87" s="36">
        <v>0</v>
      </c>
      <c r="J87" s="37"/>
      <c r="K87" s="84">
        <f t="shared" si="7"/>
        <v>-185</v>
      </c>
      <c r="L87" s="85"/>
      <c r="M87" s="104"/>
      <c r="N87" s="111"/>
      <c r="O87" s="104"/>
      <c r="P87" s="111"/>
      <c r="Q87" s="147"/>
      <c r="R87" s="104"/>
      <c r="S87" s="150"/>
      <c r="T87" s="104"/>
    </row>
    <row r="88" spans="2:20" ht="15" hidden="1" thickBot="1" x14ac:dyDescent="0.4">
      <c r="B88" s="34"/>
      <c r="C88" s="35"/>
      <c r="D88" s="35"/>
      <c r="E88" s="72" t="s">
        <v>31</v>
      </c>
      <c r="F88" s="72"/>
      <c r="G88" s="72"/>
      <c r="H88" s="72">
        <v>185</v>
      </c>
      <c r="I88" s="36">
        <v>0</v>
      </c>
      <c r="J88" s="37"/>
      <c r="K88" s="84">
        <f t="shared" si="7"/>
        <v>-185</v>
      </c>
      <c r="L88" s="85"/>
      <c r="M88" s="104"/>
      <c r="N88" s="111"/>
      <c r="O88" s="104"/>
      <c r="P88" s="111"/>
      <c r="Q88" s="147"/>
      <c r="R88" s="104"/>
      <c r="S88" s="150"/>
      <c r="T88" s="104"/>
    </row>
    <row r="89" spans="2:20" ht="15" hidden="1" thickBot="1" x14ac:dyDescent="0.4">
      <c r="B89" s="34"/>
      <c r="C89" s="35"/>
      <c r="D89" s="35"/>
      <c r="E89" s="72" t="s">
        <v>2</v>
      </c>
      <c r="F89" s="72"/>
      <c r="G89" s="72"/>
      <c r="H89" s="72" t="s">
        <v>2</v>
      </c>
      <c r="I89" s="36"/>
      <c r="J89" s="37"/>
      <c r="K89" s="84"/>
      <c r="L89" s="85"/>
      <c r="M89" s="104"/>
      <c r="N89" s="111"/>
      <c r="O89" s="104"/>
      <c r="P89" s="111"/>
      <c r="Q89" s="147"/>
      <c r="R89" s="104"/>
      <c r="S89" s="150"/>
      <c r="T89" s="104"/>
    </row>
    <row r="90" spans="2:20" ht="21" x14ac:dyDescent="0.5">
      <c r="B90" s="80" t="s">
        <v>0</v>
      </c>
      <c r="C90" s="81" t="s">
        <v>1</v>
      </c>
      <c r="D90" s="81"/>
      <c r="E90" s="82" t="s">
        <v>7</v>
      </c>
      <c r="F90" s="82" t="s">
        <v>44</v>
      </c>
      <c r="G90" s="82" t="s">
        <v>45</v>
      </c>
      <c r="H90" s="82" t="s">
        <v>32</v>
      </c>
      <c r="I90" s="82" t="s">
        <v>3</v>
      </c>
      <c r="J90" s="82" t="s">
        <v>29</v>
      </c>
      <c r="K90" s="83" t="s">
        <v>38</v>
      </c>
      <c r="L90" s="83" t="s">
        <v>27</v>
      </c>
      <c r="M90" s="104"/>
      <c r="N90" s="111"/>
      <c r="O90" s="104"/>
      <c r="P90" s="111"/>
      <c r="Q90" s="147"/>
      <c r="R90" s="104"/>
      <c r="S90" s="150"/>
      <c r="T90" s="104"/>
    </row>
    <row r="91" spans="2:20" x14ac:dyDescent="0.35">
      <c r="B91" s="42" t="s">
        <v>40</v>
      </c>
      <c r="C91" s="43" t="s">
        <v>83</v>
      </c>
      <c r="D91" s="43" t="s">
        <v>166</v>
      </c>
      <c r="E91" s="74" t="s">
        <v>36</v>
      </c>
      <c r="F91" s="74"/>
      <c r="G91" s="74">
        <v>215</v>
      </c>
      <c r="H91" s="74">
        <v>205</v>
      </c>
      <c r="I91" s="44">
        <v>0</v>
      </c>
      <c r="J91" s="45"/>
      <c r="K91" s="87">
        <f t="shared" ref="K91:K99" si="8">SUM(I91-H91)</f>
        <v>-205</v>
      </c>
      <c r="L91" s="88"/>
      <c r="M91" s="104"/>
      <c r="N91" s="111"/>
      <c r="O91" s="104"/>
      <c r="P91" s="111"/>
      <c r="Q91" s="147"/>
      <c r="R91" s="104"/>
      <c r="S91" s="150"/>
      <c r="T91" s="104"/>
    </row>
    <row r="92" spans="2:20" ht="15" thickBot="1" x14ac:dyDescent="0.4">
      <c r="B92" s="42" t="s">
        <v>40</v>
      </c>
      <c r="C92" s="43" t="s">
        <v>84</v>
      </c>
      <c r="D92" s="43" t="s">
        <v>167</v>
      </c>
      <c r="E92" s="74" t="s">
        <v>36</v>
      </c>
      <c r="F92" s="74"/>
      <c r="G92" s="74">
        <v>207</v>
      </c>
      <c r="H92" s="74">
        <v>205</v>
      </c>
      <c r="I92" s="44">
        <v>0</v>
      </c>
      <c r="J92" s="45"/>
      <c r="K92" s="87">
        <f t="shared" si="8"/>
        <v>-205</v>
      </c>
      <c r="L92" s="88"/>
      <c r="M92" s="104"/>
      <c r="N92" s="111"/>
      <c r="O92" s="104"/>
      <c r="P92" s="111"/>
      <c r="Q92" s="147"/>
      <c r="R92" s="104"/>
      <c r="S92" s="150"/>
      <c r="T92" s="104"/>
    </row>
    <row r="93" spans="2:20" ht="15" hidden="1" thickBot="1" x14ac:dyDescent="0.4">
      <c r="B93" s="42"/>
      <c r="C93" s="43"/>
      <c r="D93" s="43"/>
      <c r="E93" s="74" t="s">
        <v>36</v>
      </c>
      <c r="F93" s="74"/>
      <c r="G93" s="74"/>
      <c r="H93" s="74">
        <v>205</v>
      </c>
      <c r="I93" s="44">
        <v>0</v>
      </c>
      <c r="J93" s="45"/>
      <c r="K93" s="87">
        <f t="shared" si="8"/>
        <v>-205</v>
      </c>
      <c r="L93" s="88"/>
      <c r="M93" s="104"/>
      <c r="N93" s="111"/>
      <c r="O93" s="104"/>
      <c r="P93" s="111"/>
      <c r="Q93" s="147"/>
      <c r="R93" s="104"/>
      <c r="S93" s="150"/>
      <c r="T93" s="104"/>
    </row>
    <row r="94" spans="2:20" ht="15" hidden="1" thickBot="1" x14ac:dyDescent="0.4">
      <c r="B94" s="42"/>
      <c r="C94" s="43"/>
      <c r="D94" s="43"/>
      <c r="E94" s="74" t="s">
        <v>36</v>
      </c>
      <c r="F94" s="74"/>
      <c r="G94" s="74"/>
      <c r="H94" s="74">
        <v>205</v>
      </c>
      <c r="I94" s="44">
        <v>0</v>
      </c>
      <c r="J94" s="45"/>
      <c r="K94" s="87">
        <f t="shared" si="8"/>
        <v>-205</v>
      </c>
      <c r="L94" s="88"/>
      <c r="M94" s="104"/>
      <c r="N94" s="111"/>
      <c r="O94" s="104"/>
      <c r="P94" s="111"/>
      <c r="Q94" s="147"/>
      <c r="R94" s="104"/>
      <c r="S94" s="150"/>
      <c r="T94" s="104"/>
    </row>
    <row r="95" spans="2:20" ht="16" hidden="1" thickBot="1" x14ac:dyDescent="0.4">
      <c r="B95" s="46"/>
      <c r="C95" s="47"/>
      <c r="D95" s="47"/>
      <c r="E95" s="74" t="s">
        <v>36</v>
      </c>
      <c r="F95" s="74"/>
      <c r="G95" s="74"/>
      <c r="H95" s="74">
        <v>205</v>
      </c>
      <c r="I95" s="44">
        <v>0</v>
      </c>
      <c r="J95" s="45"/>
      <c r="K95" s="87">
        <f t="shared" si="8"/>
        <v>-205</v>
      </c>
      <c r="L95" s="88"/>
      <c r="M95" s="104"/>
      <c r="N95" s="111"/>
      <c r="O95" s="104"/>
      <c r="P95" s="111"/>
      <c r="Q95" s="147"/>
      <c r="R95" s="104"/>
      <c r="S95" s="150"/>
      <c r="T95" s="104"/>
    </row>
    <row r="96" spans="2:20" ht="16" hidden="1" thickBot="1" x14ac:dyDescent="0.4">
      <c r="B96" s="46"/>
      <c r="C96" s="47"/>
      <c r="D96" s="47"/>
      <c r="E96" s="74" t="s">
        <v>36</v>
      </c>
      <c r="F96" s="74"/>
      <c r="G96" s="74"/>
      <c r="H96" s="74">
        <v>205</v>
      </c>
      <c r="I96" s="44">
        <v>0</v>
      </c>
      <c r="J96" s="45"/>
      <c r="K96" s="87">
        <f t="shared" si="8"/>
        <v>-205</v>
      </c>
      <c r="L96" s="88"/>
      <c r="M96" s="104"/>
      <c r="N96" s="111"/>
      <c r="O96" s="104"/>
      <c r="P96" s="111"/>
      <c r="Q96" s="147"/>
      <c r="R96" s="104"/>
      <c r="S96" s="150"/>
      <c r="T96" s="104"/>
    </row>
    <row r="97" spans="2:20" ht="16" hidden="1" thickBot="1" x14ac:dyDescent="0.4">
      <c r="B97" s="46"/>
      <c r="C97" s="47"/>
      <c r="D97" s="47"/>
      <c r="E97" s="74" t="s">
        <v>36</v>
      </c>
      <c r="F97" s="74"/>
      <c r="G97" s="74"/>
      <c r="H97" s="74">
        <v>205</v>
      </c>
      <c r="I97" s="44">
        <v>0</v>
      </c>
      <c r="J97" s="45"/>
      <c r="K97" s="87">
        <f t="shared" si="8"/>
        <v>-205</v>
      </c>
      <c r="L97" s="88"/>
      <c r="M97" s="104"/>
      <c r="N97" s="111"/>
      <c r="O97" s="104"/>
      <c r="P97" s="111"/>
      <c r="Q97" s="147"/>
      <c r="R97" s="104"/>
      <c r="S97" s="150"/>
      <c r="T97" s="104"/>
    </row>
    <row r="98" spans="2:20" ht="16" hidden="1" thickBot="1" x14ac:dyDescent="0.4">
      <c r="B98" s="46"/>
      <c r="C98" s="47"/>
      <c r="D98" s="47"/>
      <c r="E98" s="74" t="s">
        <v>36</v>
      </c>
      <c r="F98" s="74"/>
      <c r="G98" s="74"/>
      <c r="H98" s="74">
        <v>205</v>
      </c>
      <c r="I98" s="44">
        <v>0</v>
      </c>
      <c r="J98" s="45"/>
      <c r="K98" s="87">
        <f t="shared" si="8"/>
        <v>-205</v>
      </c>
      <c r="L98" s="88"/>
      <c r="M98" s="104"/>
      <c r="N98" s="111"/>
      <c r="O98" s="104"/>
      <c r="P98" s="111"/>
      <c r="Q98" s="147"/>
      <c r="R98" s="104"/>
      <c r="S98" s="150"/>
      <c r="T98" s="104"/>
    </row>
    <row r="99" spans="2:20" ht="15" hidden="1" thickBot="1" x14ac:dyDescent="0.4">
      <c r="B99" s="42"/>
      <c r="C99" s="43"/>
      <c r="D99" s="43"/>
      <c r="E99" s="74" t="s">
        <v>36</v>
      </c>
      <c r="F99" s="74"/>
      <c r="G99" s="74"/>
      <c r="H99" s="74">
        <v>205</v>
      </c>
      <c r="I99" s="44">
        <v>0</v>
      </c>
      <c r="J99" s="45"/>
      <c r="K99" s="87">
        <f t="shared" si="8"/>
        <v>-205</v>
      </c>
      <c r="L99" s="88"/>
      <c r="M99" s="104"/>
      <c r="N99" s="111"/>
      <c r="O99" s="104"/>
      <c r="P99" s="111"/>
      <c r="Q99" s="147"/>
      <c r="R99" s="104"/>
      <c r="S99" s="150"/>
      <c r="T99" s="104"/>
    </row>
    <row r="100" spans="2:20" ht="15" hidden="1" thickBot="1" x14ac:dyDescent="0.4">
      <c r="B100" s="42"/>
      <c r="C100" s="43"/>
      <c r="D100" s="43"/>
      <c r="E100" s="74"/>
      <c r="F100" s="74"/>
      <c r="G100" s="74"/>
      <c r="H100" s="74"/>
      <c r="I100" s="44"/>
      <c r="J100" s="45"/>
      <c r="K100" s="87"/>
      <c r="L100" s="88"/>
      <c r="M100" s="104"/>
      <c r="N100" s="111"/>
      <c r="O100" s="104"/>
      <c r="P100" s="111"/>
      <c r="Q100" s="147"/>
      <c r="R100" s="104"/>
      <c r="S100" s="150"/>
      <c r="T100" s="104"/>
    </row>
    <row r="101" spans="2:20" ht="21" x14ac:dyDescent="0.5">
      <c r="B101" s="80" t="s">
        <v>0</v>
      </c>
      <c r="C101" s="81" t="s">
        <v>1</v>
      </c>
      <c r="D101" s="81"/>
      <c r="E101" s="82" t="s">
        <v>7</v>
      </c>
      <c r="F101" s="82" t="s">
        <v>44</v>
      </c>
      <c r="G101" s="82" t="s">
        <v>45</v>
      </c>
      <c r="H101" s="82" t="s">
        <v>32</v>
      </c>
      <c r="I101" s="82" t="s">
        <v>3</v>
      </c>
      <c r="J101" s="82" t="s">
        <v>29</v>
      </c>
      <c r="K101" s="83" t="s">
        <v>38</v>
      </c>
      <c r="L101" s="83" t="s">
        <v>27</v>
      </c>
      <c r="M101" s="104"/>
      <c r="N101" s="111"/>
      <c r="O101" s="104"/>
      <c r="P101" s="111"/>
      <c r="Q101" s="147"/>
      <c r="R101" s="104"/>
      <c r="S101" s="150"/>
      <c r="T101" s="104"/>
    </row>
    <row r="102" spans="2:20" ht="15" thickBot="1" x14ac:dyDescent="0.4">
      <c r="B102" s="48" t="s">
        <v>40</v>
      </c>
      <c r="C102" s="49" t="s">
        <v>85</v>
      </c>
      <c r="D102" s="49" t="s">
        <v>168</v>
      </c>
      <c r="E102" s="75" t="s">
        <v>37</v>
      </c>
      <c r="F102" s="75"/>
      <c r="G102" s="75">
        <v>227</v>
      </c>
      <c r="H102" s="75">
        <v>205</v>
      </c>
      <c r="I102" s="50">
        <v>0</v>
      </c>
      <c r="J102" s="51"/>
      <c r="K102" s="89">
        <f t="shared" ref="K102:K110" si="9">SUM(I102-H102)</f>
        <v>-205</v>
      </c>
      <c r="L102" s="95"/>
      <c r="M102" s="104"/>
      <c r="N102" s="111"/>
      <c r="O102" s="104"/>
      <c r="P102" s="111"/>
      <c r="Q102" s="147"/>
      <c r="R102" s="105"/>
      <c r="S102" s="150"/>
      <c r="T102" s="104"/>
    </row>
    <row r="103" spans="2:20" hidden="1" x14ac:dyDescent="0.35">
      <c r="B103" s="48"/>
      <c r="C103" s="49"/>
      <c r="D103" s="49"/>
      <c r="E103" s="75" t="s">
        <v>37</v>
      </c>
      <c r="F103" s="75"/>
      <c r="G103" s="75"/>
      <c r="H103" s="75">
        <v>205</v>
      </c>
      <c r="I103" s="50">
        <v>0</v>
      </c>
      <c r="J103" s="51"/>
      <c r="K103" s="89">
        <f t="shared" si="9"/>
        <v>-205</v>
      </c>
      <c r="L103" s="95"/>
      <c r="M103" s="104"/>
      <c r="N103" s="111"/>
      <c r="O103" s="104"/>
      <c r="P103" s="111"/>
      <c r="Q103" s="104"/>
      <c r="R103" s="151"/>
      <c r="S103" s="104"/>
      <c r="T103" s="104"/>
    </row>
    <row r="104" spans="2:20" hidden="1" x14ac:dyDescent="0.35">
      <c r="B104" s="48"/>
      <c r="C104" s="49"/>
      <c r="D104" s="49"/>
      <c r="E104" s="75" t="s">
        <v>37</v>
      </c>
      <c r="F104" s="75"/>
      <c r="G104" s="75"/>
      <c r="H104" s="75">
        <v>205</v>
      </c>
      <c r="I104" s="50">
        <v>0</v>
      </c>
      <c r="J104" s="51"/>
      <c r="K104" s="89">
        <f t="shared" si="9"/>
        <v>-205</v>
      </c>
      <c r="L104" s="95"/>
      <c r="M104" s="104"/>
      <c r="N104" s="111"/>
      <c r="O104" s="104"/>
      <c r="P104" s="111"/>
      <c r="Q104" s="104"/>
      <c r="R104" s="111"/>
      <c r="S104" s="104"/>
      <c r="T104" s="104"/>
    </row>
    <row r="105" spans="2:20" hidden="1" x14ac:dyDescent="0.35">
      <c r="B105" s="48"/>
      <c r="C105" s="49"/>
      <c r="D105" s="49"/>
      <c r="E105" s="75" t="s">
        <v>37</v>
      </c>
      <c r="F105" s="75"/>
      <c r="G105" s="75"/>
      <c r="H105" s="75">
        <v>205</v>
      </c>
      <c r="I105" s="50">
        <v>0</v>
      </c>
      <c r="J105" s="51"/>
      <c r="K105" s="89">
        <f t="shared" si="9"/>
        <v>-205</v>
      </c>
      <c r="L105" s="95"/>
      <c r="M105" s="104"/>
      <c r="N105" s="111"/>
      <c r="O105" s="104"/>
      <c r="P105" s="111"/>
      <c r="Q105" s="104"/>
      <c r="R105" s="111"/>
      <c r="S105" s="104"/>
      <c r="T105" s="104"/>
    </row>
    <row r="106" spans="2:20" ht="15.5" hidden="1" x14ac:dyDescent="0.35">
      <c r="B106" s="52"/>
      <c r="C106" s="53"/>
      <c r="D106" s="53"/>
      <c r="E106" s="75" t="s">
        <v>37</v>
      </c>
      <c r="F106" s="75"/>
      <c r="G106" s="75"/>
      <c r="H106" s="75">
        <v>205</v>
      </c>
      <c r="I106" s="50">
        <v>0</v>
      </c>
      <c r="J106" s="51"/>
      <c r="K106" s="89">
        <f t="shared" si="9"/>
        <v>-205</v>
      </c>
      <c r="L106" s="95"/>
      <c r="M106" s="104"/>
      <c r="N106" s="111"/>
      <c r="O106" s="104"/>
      <c r="P106" s="111"/>
      <c r="Q106" s="104"/>
      <c r="R106" s="111"/>
      <c r="S106" s="104"/>
      <c r="T106" s="104"/>
    </row>
    <row r="107" spans="2:20" ht="15.5" hidden="1" x14ac:dyDescent="0.35">
      <c r="B107" s="52"/>
      <c r="C107" s="53"/>
      <c r="D107" s="53"/>
      <c r="E107" s="75" t="s">
        <v>37</v>
      </c>
      <c r="F107" s="75"/>
      <c r="G107" s="75"/>
      <c r="H107" s="75">
        <v>205</v>
      </c>
      <c r="I107" s="50">
        <v>0</v>
      </c>
      <c r="J107" s="51"/>
      <c r="K107" s="89">
        <f t="shared" si="9"/>
        <v>-205</v>
      </c>
      <c r="L107" s="95"/>
      <c r="M107" s="104"/>
      <c r="N107" s="111"/>
      <c r="O107" s="104"/>
      <c r="P107" s="111"/>
      <c r="Q107" s="104"/>
      <c r="R107" s="111"/>
      <c r="S107" s="104"/>
      <c r="T107" s="104"/>
    </row>
    <row r="108" spans="2:20" ht="15.5" hidden="1" x14ac:dyDescent="0.35">
      <c r="B108" s="52"/>
      <c r="C108" s="53"/>
      <c r="D108" s="53"/>
      <c r="E108" s="75" t="s">
        <v>37</v>
      </c>
      <c r="F108" s="75"/>
      <c r="G108" s="75"/>
      <c r="H108" s="75">
        <v>205</v>
      </c>
      <c r="I108" s="50">
        <v>0</v>
      </c>
      <c r="J108" s="51"/>
      <c r="K108" s="89">
        <f t="shared" si="9"/>
        <v>-205</v>
      </c>
      <c r="L108" s="95"/>
      <c r="M108" s="104"/>
      <c r="N108" s="111"/>
      <c r="O108" s="104"/>
      <c r="P108" s="111"/>
      <c r="Q108" s="104"/>
      <c r="R108" s="111"/>
      <c r="S108" s="104"/>
      <c r="T108" s="104"/>
    </row>
    <row r="109" spans="2:20" ht="15.5" hidden="1" x14ac:dyDescent="0.35">
      <c r="B109" s="52"/>
      <c r="C109" s="53"/>
      <c r="D109" s="53"/>
      <c r="E109" s="75" t="s">
        <v>37</v>
      </c>
      <c r="F109" s="75"/>
      <c r="G109" s="75"/>
      <c r="H109" s="75">
        <v>205</v>
      </c>
      <c r="I109" s="50">
        <v>0</v>
      </c>
      <c r="J109" s="51"/>
      <c r="K109" s="89">
        <f t="shared" si="9"/>
        <v>-205</v>
      </c>
      <c r="L109" s="95"/>
      <c r="M109" s="104"/>
      <c r="N109" s="111"/>
      <c r="O109" s="104"/>
      <c r="P109" s="111"/>
      <c r="Q109" s="104"/>
      <c r="R109" s="111"/>
      <c r="S109" s="104"/>
      <c r="T109" s="104"/>
    </row>
    <row r="110" spans="2:20" hidden="1" x14ac:dyDescent="0.35">
      <c r="B110" s="48"/>
      <c r="C110" s="49"/>
      <c r="D110" s="49"/>
      <c r="E110" s="75" t="s">
        <v>37</v>
      </c>
      <c r="F110" s="75"/>
      <c r="G110" s="75"/>
      <c r="H110" s="75">
        <v>205</v>
      </c>
      <c r="I110" s="50">
        <v>0</v>
      </c>
      <c r="J110" s="51"/>
      <c r="K110" s="89">
        <f t="shared" si="9"/>
        <v>-205</v>
      </c>
      <c r="L110" s="95"/>
      <c r="M110" s="104"/>
      <c r="N110" s="111"/>
      <c r="O110" s="104"/>
      <c r="P110" s="111"/>
      <c r="Q110" s="104"/>
      <c r="R110" s="111"/>
      <c r="S110" s="104"/>
      <c r="T110" s="104"/>
    </row>
    <row r="111" spans="2:20" ht="15" hidden="1" thickBot="1" x14ac:dyDescent="0.4">
      <c r="B111" s="68"/>
      <c r="C111" s="69"/>
      <c r="D111" s="69"/>
      <c r="E111" s="79" t="s">
        <v>2</v>
      </c>
      <c r="F111" s="79"/>
      <c r="G111" s="79"/>
      <c r="H111" s="79" t="s">
        <v>2</v>
      </c>
      <c r="I111" s="70"/>
      <c r="J111" s="71"/>
      <c r="K111" s="93"/>
      <c r="L111" s="98"/>
      <c r="M111" s="105"/>
      <c r="N111" s="112"/>
      <c r="O111" s="105"/>
      <c r="P111" s="112"/>
      <c r="Q111" s="105"/>
      <c r="R111" s="112"/>
      <c r="S111" s="105"/>
      <c r="T111" s="105"/>
    </row>
    <row r="1048539" spans="5:7" x14ac:dyDescent="0.35">
      <c r="E1048539" s="33" t="s">
        <v>23</v>
      </c>
      <c r="F1048539" s="32"/>
      <c r="G1048539" s="32"/>
    </row>
  </sheetData>
  <sortState xmlns:xlrd2="http://schemas.microsoft.com/office/spreadsheetml/2017/richdata2" ref="B4:L21">
    <sortCondition descending="1" ref="F4:F21"/>
  </sortState>
  <pageMargins left="0.25" right="0.25" top="0.75" bottom="0.75" header="0.3" footer="0.3"/>
  <pageSetup scale="64" fitToHeight="2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78C9-D258-4DAB-9702-5C4B1154BB7E}">
  <dimension ref="B2:AF124"/>
  <sheetViews>
    <sheetView workbookViewId="0">
      <selection activeCell="M132" sqref="M132"/>
    </sheetView>
  </sheetViews>
  <sheetFormatPr defaultRowHeight="14.5" x14ac:dyDescent="0.35"/>
  <cols>
    <col min="1" max="1" width="3.7265625" style="1" customWidth="1"/>
    <col min="2" max="2" width="8.7265625" style="1" customWidth="1"/>
    <col min="3" max="3" width="5.26953125" style="1" customWidth="1"/>
    <col min="4" max="4" width="11.36328125" style="1" customWidth="1"/>
    <col min="5" max="5" width="10.81640625" style="1" customWidth="1"/>
    <col min="6" max="6" width="12.1796875" style="1" customWidth="1"/>
    <col min="7" max="7" width="10.81640625" style="1" customWidth="1"/>
    <col min="8" max="8" width="11.26953125" style="1" customWidth="1"/>
    <col min="9" max="11" width="10.81640625" style="1" customWidth="1"/>
    <col min="12" max="12" width="12.54296875" style="1" customWidth="1"/>
    <col min="13" max="13" width="10.81640625" style="1" customWidth="1"/>
    <col min="14" max="14" width="5.26953125" style="1" customWidth="1"/>
    <col min="15" max="15" width="11.453125" style="1" customWidth="1"/>
    <col min="16" max="16" width="11" style="1" customWidth="1"/>
    <col min="17" max="18" width="10.81640625" style="1" customWidth="1"/>
    <col min="19" max="19" width="11.6328125" style="1" customWidth="1"/>
    <col min="20" max="20" width="11" style="1" customWidth="1"/>
    <col min="21" max="21" width="12.453125" style="1" customWidth="1"/>
    <col min="22" max="22" width="5.1796875" style="1" customWidth="1"/>
    <col min="23" max="24" width="10.81640625" style="1" customWidth="1"/>
    <col min="25" max="25" width="11.7265625" style="1" customWidth="1"/>
    <col min="26" max="26" width="12.36328125" style="1" customWidth="1"/>
    <col min="27" max="27" width="5.36328125" style="1" customWidth="1"/>
    <col min="28" max="31" width="10.81640625" style="1" customWidth="1"/>
    <col min="32" max="32" width="4.90625" style="1" customWidth="1"/>
    <col min="33" max="16384" width="8.7265625" style="1"/>
  </cols>
  <sheetData>
    <row r="2" spans="2:32" ht="15" thickBot="1" x14ac:dyDescent="0.4"/>
    <row r="3" spans="2:32" x14ac:dyDescent="0.35">
      <c r="B3" s="141" t="s">
        <v>97</v>
      </c>
      <c r="C3" s="120">
        <v>1</v>
      </c>
      <c r="D3" s="120">
        <v>2</v>
      </c>
      <c r="E3" s="120">
        <v>3</v>
      </c>
      <c r="F3" s="120">
        <v>4</v>
      </c>
      <c r="G3" s="120">
        <v>5</v>
      </c>
      <c r="H3" s="120">
        <v>6</v>
      </c>
      <c r="I3" s="120">
        <v>7</v>
      </c>
      <c r="J3" s="120">
        <v>8</v>
      </c>
      <c r="K3" s="120">
        <v>9</v>
      </c>
      <c r="L3" s="120">
        <v>10</v>
      </c>
      <c r="M3" s="120">
        <v>11</v>
      </c>
      <c r="N3" s="120">
        <v>12</v>
      </c>
      <c r="O3" s="120">
        <v>13</v>
      </c>
      <c r="P3" s="120">
        <v>14</v>
      </c>
      <c r="Q3" s="120">
        <v>15</v>
      </c>
      <c r="R3" s="120">
        <v>16</v>
      </c>
      <c r="S3" s="120">
        <v>17</v>
      </c>
      <c r="T3" s="120">
        <v>18</v>
      </c>
      <c r="U3" s="120">
        <v>19</v>
      </c>
      <c r="V3" s="120">
        <v>20</v>
      </c>
      <c r="W3" s="120">
        <v>21</v>
      </c>
      <c r="X3" s="120">
        <v>22</v>
      </c>
      <c r="Y3" s="120">
        <v>23</v>
      </c>
      <c r="Z3" s="120">
        <v>24</v>
      </c>
      <c r="AA3" s="120">
        <v>25</v>
      </c>
      <c r="AB3" s="120">
        <v>26</v>
      </c>
      <c r="AC3" s="121">
        <v>27</v>
      </c>
      <c r="AD3" s="121">
        <v>28</v>
      </c>
      <c r="AE3" s="121">
        <v>29</v>
      </c>
      <c r="AF3" s="122">
        <v>30</v>
      </c>
    </row>
    <row r="4" spans="2:32" ht="42.5" customHeight="1" x14ac:dyDescent="0.35">
      <c r="B4" s="139" t="s">
        <v>98</v>
      </c>
      <c r="C4" s="142" t="s">
        <v>99</v>
      </c>
      <c r="D4" s="118" t="s">
        <v>64</v>
      </c>
      <c r="E4" s="118" t="s">
        <v>103</v>
      </c>
      <c r="F4" s="118" t="s">
        <v>46</v>
      </c>
      <c r="G4" s="118" t="s">
        <v>55</v>
      </c>
      <c r="H4" s="118" t="s">
        <v>104</v>
      </c>
      <c r="I4" s="118" t="s">
        <v>63</v>
      </c>
      <c r="J4" s="118" t="s">
        <v>47</v>
      </c>
      <c r="K4" s="118" t="s">
        <v>76</v>
      </c>
      <c r="L4" s="118" t="s">
        <v>58</v>
      </c>
      <c r="M4" s="118" t="s">
        <v>2</v>
      </c>
      <c r="N4" s="143" t="s">
        <v>99</v>
      </c>
      <c r="O4" s="119" t="s">
        <v>79</v>
      </c>
      <c r="P4" s="119" t="s">
        <v>67</v>
      </c>
      <c r="Q4" s="119" t="s">
        <v>88</v>
      </c>
      <c r="R4" s="119" t="s">
        <v>107</v>
      </c>
      <c r="S4" s="119" t="s">
        <v>49</v>
      </c>
      <c r="T4" s="119" t="s">
        <v>87</v>
      </c>
      <c r="U4" s="119" t="s">
        <v>59</v>
      </c>
      <c r="V4" s="143" t="s">
        <v>99</v>
      </c>
      <c r="W4" s="117" t="s">
        <v>62</v>
      </c>
      <c r="X4" s="117" t="s">
        <v>54</v>
      </c>
      <c r="Y4" s="135" t="s">
        <v>60</v>
      </c>
      <c r="Z4" s="135" t="s">
        <v>89</v>
      </c>
      <c r="AA4" s="143" t="s">
        <v>99</v>
      </c>
      <c r="AB4" s="136" t="s">
        <v>92</v>
      </c>
      <c r="AC4" s="136" t="s">
        <v>81</v>
      </c>
      <c r="AD4" s="118" t="s">
        <v>93</v>
      </c>
      <c r="AE4" s="117" t="s">
        <v>84</v>
      </c>
      <c r="AF4" s="144" t="s">
        <v>99</v>
      </c>
    </row>
    <row r="5" spans="2:32" ht="48" customHeight="1" thickBot="1" x14ac:dyDescent="0.4">
      <c r="B5" s="140" t="s">
        <v>100</v>
      </c>
      <c r="C5" s="145" t="s">
        <v>99</v>
      </c>
      <c r="D5" s="118"/>
      <c r="E5" s="118" t="s">
        <v>65</v>
      </c>
      <c r="F5" s="118" t="s">
        <v>95</v>
      </c>
      <c r="G5" s="118" t="s">
        <v>56</v>
      </c>
      <c r="H5" s="118" t="s">
        <v>57</v>
      </c>
      <c r="I5" s="118" t="s">
        <v>48</v>
      </c>
      <c r="J5" s="118" t="s">
        <v>105</v>
      </c>
      <c r="K5" s="118" t="s">
        <v>86</v>
      </c>
      <c r="L5" s="118" t="s">
        <v>102</v>
      </c>
      <c r="M5" s="118" t="s">
        <v>106</v>
      </c>
      <c r="N5" s="143" t="s">
        <v>99</v>
      </c>
      <c r="O5" s="119" t="s">
        <v>78</v>
      </c>
      <c r="P5" s="119" t="s">
        <v>109</v>
      </c>
      <c r="Q5" s="119" t="s">
        <v>51</v>
      </c>
      <c r="R5" s="119" t="s">
        <v>108</v>
      </c>
      <c r="S5" s="119" t="s">
        <v>50</v>
      </c>
      <c r="T5" s="119" t="s">
        <v>101</v>
      </c>
      <c r="U5" s="119" t="s">
        <v>66</v>
      </c>
      <c r="V5" s="143" t="s">
        <v>99</v>
      </c>
      <c r="W5" s="117" t="s">
        <v>91</v>
      </c>
      <c r="X5" s="117" t="s">
        <v>61</v>
      </c>
      <c r="Y5" s="135" t="s">
        <v>53</v>
      </c>
      <c r="Z5" s="135" t="s">
        <v>52</v>
      </c>
      <c r="AA5" s="143" t="s">
        <v>99</v>
      </c>
      <c r="AB5" s="136" t="s">
        <v>80</v>
      </c>
      <c r="AC5" s="118" t="s">
        <v>82</v>
      </c>
      <c r="AD5" s="117" t="s">
        <v>83</v>
      </c>
      <c r="AE5" s="138" t="s">
        <v>85</v>
      </c>
      <c r="AF5" s="146" t="s">
        <v>99</v>
      </c>
    </row>
    <row r="6" spans="2:32" ht="65" hidden="1" customHeight="1" x14ac:dyDescent="0.35">
      <c r="R6" s="128"/>
      <c r="S6" s="128"/>
      <c r="T6" s="128"/>
    </row>
    <row r="7" spans="2:32" hidden="1" x14ac:dyDescent="0.35"/>
    <row r="8" spans="2:32" hidden="1" x14ac:dyDescent="0.35"/>
    <row r="9" spans="2:32" hidden="1" x14ac:dyDescent="0.35"/>
    <row r="10" spans="2:32" hidden="1" x14ac:dyDescent="0.35">
      <c r="B10" s="34" t="s">
        <v>4</v>
      </c>
      <c r="C10" s="123" t="s">
        <v>55</v>
      </c>
      <c r="D10" s="72" t="s">
        <v>14</v>
      </c>
    </row>
    <row r="11" spans="2:32" ht="15.5" hidden="1" x14ac:dyDescent="0.35">
      <c r="B11" s="34" t="s">
        <v>4</v>
      </c>
      <c r="C11" s="124" t="s">
        <v>56</v>
      </c>
      <c r="D11" s="72" t="s">
        <v>14</v>
      </c>
    </row>
    <row r="12" spans="2:32" ht="15.5" hidden="1" x14ac:dyDescent="0.35">
      <c r="B12" s="38" t="s">
        <v>26</v>
      </c>
      <c r="C12" s="124" t="s">
        <v>63</v>
      </c>
      <c r="D12" s="72" t="s">
        <v>14</v>
      </c>
    </row>
    <row r="13" spans="2:32" hidden="1" x14ac:dyDescent="0.35">
      <c r="B13" s="34" t="s">
        <v>43</v>
      </c>
      <c r="C13" s="123" t="s">
        <v>46</v>
      </c>
      <c r="D13" s="72" t="s">
        <v>14</v>
      </c>
      <c r="I13" s="1" t="s">
        <v>2</v>
      </c>
    </row>
    <row r="14" spans="2:32" ht="15.5" hidden="1" x14ac:dyDescent="0.35">
      <c r="B14" s="34" t="s">
        <v>4</v>
      </c>
      <c r="C14" s="125" t="s">
        <v>57</v>
      </c>
      <c r="D14" s="72" t="s">
        <v>14</v>
      </c>
    </row>
    <row r="15" spans="2:32" hidden="1" x14ac:dyDescent="0.35">
      <c r="B15" s="34" t="s">
        <v>28</v>
      </c>
      <c r="C15" s="123" t="s">
        <v>69</v>
      </c>
      <c r="D15" s="72" t="s">
        <v>14</v>
      </c>
    </row>
    <row r="16" spans="2:32" hidden="1" x14ac:dyDescent="0.35">
      <c r="B16" s="34" t="s">
        <v>28</v>
      </c>
      <c r="C16" s="123" t="s">
        <v>70</v>
      </c>
      <c r="D16" s="72" t="s">
        <v>14</v>
      </c>
    </row>
    <row r="17" spans="2:4" hidden="1" x14ac:dyDescent="0.35">
      <c r="B17" s="34" t="s">
        <v>43</v>
      </c>
      <c r="C17" s="123" t="s">
        <v>47</v>
      </c>
      <c r="D17" s="72" t="s">
        <v>14</v>
      </c>
    </row>
    <row r="18" spans="2:4" hidden="1" x14ac:dyDescent="0.35">
      <c r="B18" s="34" t="s">
        <v>43</v>
      </c>
      <c r="C18" s="123" t="s">
        <v>48</v>
      </c>
      <c r="D18" s="72" t="s">
        <v>14</v>
      </c>
    </row>
    <row r="19" spans="2:4" hidden="1" x14ac:dyDescent="0.35">
      <c r="B19" s="34" t="s">
        <v>28</v>
      </c>
      <c r="C19" s="123" t="s">
        <v>72</v>
      </c>
      <c r="D19" s="72" t="s">
        <v>14</v>
      </c>
    </row>
    <row r="20" spans="2:4" hidden="1" x14ac:dyDescent="0.35">
      <c r="B20" s="34" t="s">
        <v>26</v>
      </c>
      <c r="C20" s="123" t="s">
        <v>64</v>
      </c>
      <c r="D20" s="72" t="s">
        <v>14</v>
      </c>
    </row>
    <row r="21" spans="2:4" hidden="1" x14ac:dyDescent="0.35">
      <c r="B21" s="34" t="s">
        <v>26</v>
      </c>
      <c r="C21" s="123" t="s">
        <v>95</v>
      </c>
      <c r="D21" s="72" t="s">
        <v>96</v>
      </c>
    </row>
    <row r="22" spans="2:4" hidden="1" x14ac:dyDescent="0.35">
      <c r="B22" s="34" t="s">
        <v>26</v>
      </c>
      <c r="C22" s="123" t="s">
        <v>65</v>
      </c>
      <c r="D22" s="72" t="s">
        <v>14</v>
      </c>
    </row>
    <row r="23" spans="2:4" hidden="1" x14ac:dyDescent="0.35">
      <c r="B23" s="34" t="s">
        <v>28</v>
      </c>
      <c r="C23" s="123" t="s">
        <v>73</v>
      </c>
      <c r="D23" s="72" t="s">
        <v>14</v>
      </c>
    </row>
    <row r="24" spans="2:4" hidden="1" x14ac:dyDescent="0.35">
      <c r="B24" s="34" t="s">
        <v>25</v>
      </c>
      <c r="C24" s="123" t="s">
        <v>86</v>
      </c>
      <c r="D24" s="72" t="s">
        <v>14</v>
      </c>
    </row>
    <row r="25" spans="2:4" ht="15.5" hidden="1" x14ac:dyDescent="0.35">
      <c r="B25" s="34" t="s">
        <v>4</v>
      </c>
      <c r="C25" s="129" t="s">
        <v>58</v>
      </c>
      <c r="D25" s="72" t="s">
        <v>14</v>
      </c>
    </row>
    <row r="26" spans="2:4" hidden="1" x14ac:dyDescent="0.35">
      <c r="B26" s="34" t="s">
        <v>40</v>
      </c>
      <c r="C26" s="123" t="s">
        <v>76</v>
      </c>
      <c r="D26" s="72" t="s">
        <v>14</v>
      </c>
    </row>
    <row r="27" spans="2:4" hidden="1" x14ac:dyDescent="0.35">
      <c r="B27" s="34" t="s">
        <v>40</v>
      </c>
      <c r="C27" s="123" t="s">
        <v>77</v>
      </c>
      <c r="D27" s="72" t="s">
        <v>14</v>
      </c>
    </row>
    <row r="28" spans="2:4" hidden="1" x14ac:dyDescent="0.35">
      <c r="B28" s="34"/>
      <c r="C28" s="35"/>
      <c r="D28" s="72" t="s">
        <v>14</v>
      </c>
    </row>
    <row r="29" spans="2:4" hidden="1" x14ac:dyDescent="0.35">
      <c r="B29" s="34"/>
      <c r="C29" s="35"/>
      <c r="D29" s="72" t="s">
        <v>14</v>
      </c>
    </row>
    <row r="30" spans="2:4" ht="15" hidden="1" thickBot="1" x14ac:dyDescent="0.4">
      <c r="B30" s="40"/>
      <c r="C30" s="41"/>
      <c r="D30" s="73"/>
    </row>
    <row r="31" spans="2:4" ht="21" hidden="1" x14ac:dyDescent="0.5">
      <c r="B31" s="80" t="s">
        <v>0</v>
      </c>
      <c r="C31" s="81" t="s">
        <v>1</v>
      </c>
      <c r="D31" s="82" t="s">
        <v>7</v>
      </c>
    </row>
    <row r="32" spans="2:4" hidden="1" x14ac:dyDescent="0.35">
      <c r="B32" s="42" t="s">
        <v>4</v>
      </c>
      <c r="C32" s="127" t="s">
        <v>59</v>
      </c>
      <c r="D32" s="74" t="s">
        <v>35</v>
      </c>
    </row>
    <row r="33" spans="2:4" hidden="1" x14ac:dyDescent="0.35">
      <c r="B33" s="42" t="s">
        <v>28</v>
      </c>
      <c r="C33" s="127" t="s">
        <v>75</v>
      </c>
      <c r="D33" s="74" t="s">
        <v>35</v>
      </c>
    </row>
    <row r="34" spans="2:4" ht="15.5" hidden="1" x14ac:dyDescent="0.35">
      <c r="B34" s="46" t="s">
        <v>28</v>
      </c>
      <c r="C34" s="126" t="s">
        <v>71</v>
      </c>
      <c r="D34" s="74" t="s">
        <v>35</v>
      </c>
    </row>
    <row r="35" spans="2:4" hidden="1" x14ac:dyDescent="0.35">
      <c r="B35" s="42" t="s">
        <v>25</v>
      </c>
      <c r="C35" s="127" t="s">
        <v>87</v>
      </c>
      <c r="D35" s="74" t="s">
        <v>35</v>
      </c>
    </row>
    <row r="36" spans="2:4" hidden="1" x14ac:dyDescent="0.35">
      <c r="B36" s="42" t="s">
        <v>28</v>
      </c>
      <c r="C36" s="127" t="s">
        <v>74</v>
      </c>
      <c r="D36" s="74" t="s">
        <v>35</v>
      </c>
    </row>
    <row r="37" spans="2:4" hidden="1" x14ac:dyDescent="0.35">
      <c r="B37" s="42" t="s">
        <v>43</v>
      </c>
      <c r="C37" s="127" t="s">
        <v>49</v>
      </c>
      <c r="D37" s="74" t="s">
        <v>35</v>
      </c>
    </row>
    <row r="38" spans="2:4" hidden="1" x14ac:dyDescent="0.35">
      <c r="B38" s="42" t="s">
        <v>43</v>
      </c>
      <c r="C38" s="127" t="s">
        <v>50</v>
      </c>
      <c r="D38" s="74" t="s">
        <v>35</v>
      </c>
    </row>
    <row r="39" spans="2:4" ht="15.5" hidden="1" x14ac:dyDescent="0.35">
      <c r="B39" s="46" t="s">
        <v>26</v>
      </c>
      <c r="C39" s="126" t="s">
        <v>68</v>
      </c>
      <c r="D39" s="74" t="s">
        <v>35</v>
      </c>
    </row>
    <row r="40" spans="2:4" hidden="1" x14ac:dyDescent="0.35">
      <c r="B40" s="42" t="s">
        <v>43</v>
      </c>
      <c r="C40" s="127" t="s">
        <v>51</v>
      </c>
      <c r="D40" s="74" t="s">
        <v>35</v>
      </c>
    </row>
    <row r="41" spans="2:4" hidden="1" x14ac:dyDescent="0.35">
      <c r="B41" s="42" t="s">
        <v>25</v>
      </c>
      <c r="C41" s="127" t="s">
        <v>88</v>
      </c>
      <c r="D41" s="74" t="s">
        <v>35</v>
      </c>
    </row>
    <row r="42" spans="2:4" ht="15.5" hidden="1" x14ac:dyDescent="0.35">
      <c r="B42" s="46" t="s">
        <v>26</v>
      </c>
      <c r="C42" s="126" t="s">
        <v>66</v>
      </c>
      <c r="D42" s="74" t="s">
        <v>35</v>
      </c>
    </row>
    <row r="43" spans="2:4" ht="15.5" hidden="1" x14ac:dyDescent="0.35">
      <c r="B43" s="46" t="s">
        <v>26</v>
      </c>
      <c r="C43" s="126" t="s">
        <v>67</v>
      </c>
      <c r="D43" s="74" t="s">
        <v>35</v>
      </c>
    </row>
    <row r="44" spans="2:4" hidden="1" x14ac:dyDescent="0.35">
      <c r="B44" s="42" t="s">
        <v>40</v>
      </c>
      <c r="C44" s="127" t="s">
        <v>78</v>
      </c>
      <c r="D44" s="74" t="s">
        <v>35</v>
      </c>
    </row>
    <row r="45" spans="2:4" hidden="1" x14ac:dyDescent="0.35">
      <c r="B45" s="42" t="s">
        <v>40</v>
      </c>
      <c r="C45" s="127" t="s">
        <v>79</v>
      </c>
      <c r="D45" s="74" t="s">
        <v>35</v>
      </c>
    </row>
    <row r="46" spans="2:4" hidden="1" x14ac:dyDescent="0.35">
      <c r="B46" s="42"/>
      <c r="C46" s="43"/>
      <c r="D46" s="74" t="s">
        <v>35</v>
      </c>
    </row>
    <row r="47" spans="2:4" hidden="1" x14ac:dyDescent="0.35">
      <c r="B47" s="42"/>
      <c r="C47" s="43"/>
      <c r="D47" s="74" t="s">
        <v>35</v>
      </c>
    </row>
    <row r="48" spans="2:4" hidden="1" x14ac:dyDescent="0.35">
      <c r="B48" s="42"/>
      <c r="C48" s="43"/>
      <c r="D48" s="74" t="s">
        <v>35</v>
      </c>
    </row>
    <row r="49" spans="2:4" hidden="1" x14ac:dyDescent="0.35">
      <c r="B49" s="42"/>
      <c r="C49" s="43"/>
      <c r="D49" s="74" t="s">
        <v>35</v>
      </c>
    </row>
    <row r="50" spans="2:4" hidden="1" x14ac:dyDescent="0.35">
      <c r="B50" s="42"/>
      <c r="C50" s="43"/>
      <c r="D50" s="74" t="s">
        <v>35</v>
      </c>
    </row>
    <row r="51" spans="2:4" ht="15" hidden="1" thickBot="1" x14ac:dyDescent="0.4">
      <c r="B51" s="42"/>
      <c r="C51" s="43"/>
      <c r="D51" s="74"/>
    </row>
    <row r="52" spans="2:4" ht="21" hidden="1" x14ac:dyDescent="0.5">
      <c r="B52" s="80" t="s">
        <v>0</v>
      </c>
      <c r="C52" s="81" t="s">
        <v>1</v>
      </c>
      <c r="D52" s="82" t="s">
        <v>7</v>
      </c>
    </row>
    <row r="53" spans="2:4" hidden="1" x14ac:dyDescent="0.35">
      <c r="B53" s="130" t="s">
        <v>26</v>
      </c>
      <c r="C53" s="131" t="s">
        <v>60</v>
      </c>
      <c r="D53" s="75" t="s">
        <v>13</v>
      </c>
    </row>
    <row r="54" spans="2:4" hidden="1" x14ac:dyDescent="0.35">
      <c r="B54" s="130" t="s">
        <v>4</v>
      </c>
      <c r="C54" s="131" t="s">
        <v>53</v>
      </c>
      <c r="D54" s="75" t="s">
        <v>13</v>
      </c>
    </row>
    <row r="55" spans="2:4" hidden="1" x14ac:dyDescent="0.35">
      <c r="B55" s="130" t="s">
        <v>90</v>
      </c>
      <c r="C55" s="131" t="s">
        <v>89</v>
      </c>
      <c r="D55" s="75" t="s">
        <v>13</v>
      </c>
    </row>
    <row r="56" spans="2:4" hidden="1" x14ac:dyDescent="0.35">
      <c r="B56" s="130" t="s">
        <v>4</v>
      </c>
      <c r="C56" s="131" t="s">
        <v>52</v>
      </c>
      <c r="D56" s="75" t="s">
        <v>13</v>
      </c>
    </row>
    <row r="57" spans="2:4" ht="15.5" hidden="1" x14ac:dyDescent="0.35">
      <c r="B57" s="52"/>
      <c r="C57" s="53"/>
      <c r="D57" s="75" t="s">
        <v>13</v>
      </c>
    </row>
    <row r="58" spans="2:4" ht="15.5" hidden="1" x14ac:dyDescent="0.35">
      <c r="B58" s="52"/>
      <c r="C58" s="53"/>
      <c r="D58" s="75" t="s">
        <v>13</v>
      </c>
    </row>
    <row r="59" spans="2:4" ht="15.5" hidden="1" x14ac:dyDescent="0.35">
      <c r="B59" s="52"/>
      <c r="C59" s="53"/>
      <c r="D59" s="75" t="s">
        <v>13</v>
      </c>
    </row>
    <row r="60" spans="2:4" ht="15.5" hidden="1" x14ac:dyDescent="0.35">
      <c r="B60" s="52"/>
      <c r="C60" s="53"/>
      <c r="D60" s="75" t="s">
        <v>13</v>
      </c>
    </row>
    <row r="61" spans="2:4" hidden="1" x14ac:dyDescent="0.35">
      <c r="B61" s="48"/>
      <c r="C61" s="49"/>
      <c r="D61" s="75" t="s">
        <v>13</v>
      </c>
    </row>
    <row r="62" spans="2:4" ht="15" hidden="1" thickBot="1" x14ac:dyDescent="0.4">
      <c r="B62" s="48"/>
      <c r="C62" s="49"/>
      <c r="D62" s="75"/>
    </row>
    <row r="63" spans="2:4" ht="21" hidden="1" x14ac:dyDescent="0.5">
      <c r="B63" s="80" t="s">
        <v>0</v>
      </c>
      <c r="C63" s="81" t="s">
        <v>1</v>
      </c>
      <c r="D63" s="82" t="s">
        <v>7</v>
      </c>
    </row>
    <row r="64" spans="2:4" hidden="1" x14ac:dyDescent="0.35">
      <c r="B64" s="132" t="s">
        <v>26</v>
      </c>
      <c r="C64" s="133" t="s">
        <v>62</v>
      </c>
      <c r="D64" s="76" t="s">
        <v>23</v>
      </c>
    </row>
    <row r="65" spans="2:26" hidden="1" x14ac:dyDescent="0.35">
      <c r="B65" s="132" t="s">
        <v>25</v>
      </c>
      <c r="C65" s="133" t="s">
        <v>91</v>
      </c>
      <c r="D65" s="76" t="s">
        <v>23</v>
      </c>
    </row>
    <row r="66" spans="2:26" hidden="1" x14ac:dyDescent="0.35">
      <c r="B66" s="132" t="s">
        <v>26</v>
      </c>
      <c r="C66" s="133" t="s">
        <v>61</v>
      </c>
      <c r="D66" s="76" t="s">
        <v>23</v>
      </c>
    </row>
    <row r="67" spans="2:26" hidden="1" x14ac:dyDescent="0.35">
      <c r="B67" s="132" t="s">
        <v>4</v>
      </c>
      <c r="C67" s="133" t="s">
        <v>54</v>
      </c>
      <c r="D67" s="76" t="s">
        <v>23</v>
      </c>
    </row>
    <row r="68" spans="2:26" ht="15.5" hidden="1" x14ac:dyDescent="0.35">
      <c r="B68" s="58"/>
      <c r="C68" s="59"/>
      <c r="D68" s="76" t="s">
        <v>23</v>
      </c>
    </row>
    <row r="69" spans="2:26" ht="15.5" hidden="1" x14ac:dyDescent="0.35">
      <c r="B69" s="58"/>
      <c r="C69" s="59"/>
      <c r="D69" s="76" t="s">
        <v>23</v>
      </c>
    </row>
    <row r="70" spans="2:26" ht="15.5" hidden="1" x14ac:dyDescent="0.35">
      <c r="B70" s="58"/>
      <c r="C70" s="59"/>
      <c r="D70" s="76" t="s">
        <v>23</v>
      </c>
    </row>
    <row r="71" spans="2:26" ht="15.5" hidden="1" x14ac:dyDescent="0.35">
      <c r="B71" s="58"/>
      <c r="C71" s="59"/>
      <c r="D71" s="76" t="s">
        <v>23</v>
      </c>
    </row>
    <row r="72" spans="2:26" hidden="1" x14ac:dyDescent="0.35">
      <c r="B72" s="54"/>
      <c r="C72" s="55"/>
      <c r="D72" s="76" t="s">
        <v>23</v>
      </c>
    </row>
    <row r="73" spans="2:26" ht="15" hidden="1" thickBot="1" x14ac:dyDescent="0.4">
      <c r="B73" s="54"/>
      <c r="C73" s="55"/>
      <c r="D73" s="76" t="s">
        <v>2</v>
      </c>
    </row>
    <row r="74" spans="2:26" ht="21" hidden="1" x14ac:dyDescent="0.5">
      <c r="B74" s="80" t="s">
        <v>0</v>
      </c>
      <c r="C74" s="81" t="s">
        <v>1</v>
      </c>
      <c r="D74" s="82" t="s">
        <v>7</v>
      </c>
      <c r="W74" s="134"/>
      <c r="X74" s="134"/>
      <c r="Y74" s="134"/>
      <c r="Z74" s="134"/>
    </row>
    <row r="75" spans="2:26" hidden="1" x14ac:dyDescent="0.35">
      <c r="B75" s="60" t="s">
        <v>25</v>
      </c>
      <c r="C75" s="61" t="s">
        <v>92</v>
      </c>
      <c r="D75" s="77" t="s">
        <v>30</v>
      </c>
      <c r="W75" s="134"/>
      <c r="X75" s="134"/>
      <c r="Y75" s="134"/>
      <c r="Z75" s="134"/>
    </row>
    <row r="76" spans="2:26" hidden="1" x14ac:dyDescent="0.35">
      <c r="B76" s="60" t="s">
        <v>40</v>
      </c>
      <c r="C76" s="61" t="s">
        <v>80</v>
      </c>
      <c r="D76" s="77" t="s">
        <v>30</v>
      </c>
    </row>
    <row r="77" spans="2:26" hidden="1" x14ac:dyDescent="0.35">
      <c r="B77" s="60" t="s">
        <v>40</v>
      </c>
      <c r="C77" s="61" t="s">
        <v>81</v>
      </c>
      <c r="D77" s="77" t="s">
        <v>30</v>
      </c>
    </row>
    <row r="78" spans="2:26" hidden="1" x14ac:dyDescent="0.35">
      <c r="B78" s="60"/>
      <c r="C78" s="61"/>
      <c r="D78" s="77" t="s">
        <v>30</v>
      </c>
    </row>
    <row r="79" spans="2:26" ht="15.5" hidden="1" x14ac:dyDescent="0.35">
      <c r="B79" s="64"/>
      <c r="C79" s="65"/>
      <c r="D79" s="77" t="s">
        <v>30</v>
      </c>
    </row>
    <row r="80" spans="2:26" ht="15.5" hidden="1" x14ac:dyDescent="0.35">
      <c r="B80" s="64"/>
      <c r="C80" s="65"/>
      <c r="D80" s="77" t="s">
        <v>30</v>
      </c>
    </row>
    <row r="81" spans="2:4" ht="15.5" hidden="1" x14ac:dyDescent="0.35">
      <c r="B81" s="64"/>
      <c r="C81" s="65"/>
      <c r="D81" s="77" t="s">
        <v>30</v>
      </c>
    </row>
    <row r="82" spans="2:4" ht="15.5" hidden="1" x14ac:dyDescent="0.35">
      <c r="B82" s="64"/>
      <c r="C82" s="65"/>
      <c r="D82" s="77" t="s">
        <v>30</v>
      </c>
    </row>
    <row r="83" spans="2:4" hidden="1" x14ac:dyDescent="0.35">
      <c r="B83" s="60"/>
      <c r="C83" s="61"/>
      <c r="D83" s="77" t="s">
        <v>30</v>
      </c>
    </row>
    <row r="84" spans="2:4" ht="15" hidden="1" thickBot="1" x14ac:dyDescent="0.4">
      <c r="B84" s="66"/>
      <c r="C84" s="67"/>
      <c r="D84" s="78"/>
    </row>
    <row r="85" spans="2:4" ht="21" hidden="1" x14ac:dyDescent="0.5">
      <c r="B85" s="80" t="s">
        <v>0</v>
      </c>
      <c r="C85" s="81" t="s">
        <v>1</v>
      </c>
      <c r="D85" s="82" t="s">
        <v>7</v>
      </c>
    </row>
    <row r="86" spans="2:4" hidden="1" x14ac:dyDescent="0.35">
      <c r="B86" s="34" t="s">
        <v>40</v>
      </c>
      <c r="C86" s="35" t="s">
        <v>82</v>
      </c>
      <c r="D86" s="72" t="s">
        <v>31</v>
      </c>
    </row>
    <row r="87" spans="2:4" hidden="1" x14ac:dyDescent="0.35">
      <c r="B87" s="34" t="s">
        <v>25</v>
      </c>
      <c r="C87" s="35" t="s">
        <v>93</v>
      </c>
      <c r="D87" s="72" t="s">
        <v>31</v>
      </c>
    </row>
    <row r="88" spans="2:4" hidden="1" x14ac:dyDescent="0.35">
      <c r="B88" s="34"/>
      <c r="C88" s="35"/>
      <c r="D88" s="72" t="s">
        <v>31</v>
      </c>
    </row>
    <row r="89" spans="2:4" hidden="1" x14ac:dyDescent="0.35">
      <c r="B89" s="34"/>
      <c r="C89" s="35"/>
      <c r="D89" s="72" t="s">
        <v>31</v>
      </c>
    </row>
    <row r="90" spans="2:4" ht="15.5" hidden="1" x14ac:dyDescent="0.35">
      <c r="B90" s="38"/>
      <c r="C90" s="39"/>
      <c r="D90" s="72" t="s">
        <v>31</v>
      </c>
    </row>
    <row r="91" spans="2:4" ht="15.5" hidden="1" x14ac:dyDescent="0.35">
      <c r="B91" s="38"/>
      <c r="C91" s="39"/>
      <c r="D91" s="72" t="s">
        <v>31</v>
      </c>
    </row>
    <row r="92" spans="2:4" ht="15.5" hidden="1" x14ac:dyDescent="0.35">
      <c r="B92" s="38"/>
      <c r="C92" s="39"/>
      <c r="D92" s="72" t="s">
        <v>31</v>
      </c>
    </row>
    <row r="93" spans="2:4" ht="15.5" hidden="1" x14ac:dyDescent="0.35">
      <c r="B93" s="38"/>
      <c r="C93" s="39"/>
      <c r="D93" s="72" t="s">
        <v>31</v>
      </c>
    </row>
    <row r="94" spans="2:4" hidden="1" x14ac:dyDescent="0.35">
      <c r="B94" s="34"/>
      <c r="C94" s="35"/>
      <c r="D94" s="72" t="s">
        <v>31</v>
      </c>
    </row>
    <row r="95" spans="2:4" ht="15" hidden="1" thickBot="1" x14ac:dyDescent="0.4">
      <c r="B95" s="34"/>
      <c r="C95" s="35"/>
      <c r="D95" s="72" t="s">
        <v>2</v>
      </c>
    </row>
    <row r="96" spans="2:4" ht="21" hidden="1" x14ac:dyDescent="0.5">
      <c r="B96" s="80" t="s">
        <v>0</v>
      </c>
      <c r="C96" s="81" t="s">
        <v>1</v>
      </c>
      <c r="D96" s="82" t="s">
        <v>7</v>
      </c>
    </row>
    <row r="97" spans="2:4" hidden="1" x14ac:dyDescent="0.35">
      <c r="B97" s="42" t="s">
        <v>40</v>
      </c>
      <c r="C97" s="43" t="s">
        <v>83</v>
      </c>
      <c r="D97" s="74" t="s">
        <v>36</v>
      </c>
    </row>
    <row r="98" spans="2:4" hidden="1" x14ac:dyDescent="0.35">
      <c r="B98" s="42" t="s">
        <v>40</v>
      </c>
      <c r="C98" s="43" t="s">
        <v>84</v>
      </c>
      <c r="D98" s="74" t="s">
        <v>36</v>
      </c>
    </row>
    <row r="99" spans="2:4" hidden="1" x14ac:dyDescent="0.35">
      <c r="B99" s="42"/>
      <c r="C99" s="43"/>
      <c r="D99" s="74" t="s">
        <v>36</v>
      </c>
    </row>
    <row r="100" spans="2:4" hidden="1" x14ac:dyDescent="0.35">
      <c r="B100" s="42"/>
      <c r="C100" s="43"/>
      <c r="D100" s="74" t="s">
        <v>36</v>
      </c>
    </row>
    <row r="101" spans="2:4" ht="15.5" hidden="1" x14ac:dyDescent="0.35">
      <c r="B101" s="46"/>
      <c r="C101" s="47"/>
      <c r="D101" s="74" t="s">
        <v>36</v>
      </c>
    </row>
    <row r="102" spans="2:4" ht="15.5" hidden="1" x14ac:dyDescent="0.35">
      <c r="B102" s="46"/>
      <c r="C102" s="47"/>
      <c r="D102" s="74" t="s">
        <v>36</v>
      </c>
    </row>
    <row r="103" spans="2:4" ht="15.5" hidden="1" x14ac:dyDescent="0.35">
      <c r="B103" s="46"/>
      <c r="C103" s="47"/>
      <c r="D103" s="74" t="s">
        <v>36</v>
      </c>
    </row>
    <row r="104" spans="2:4" ht="15.5" hidden="1" x14ac:dyDescent="0.35">
      <c r="B104" s="46"/>
      <c r="C104" s="47"/>
      <c r="D104" s="74" t="s">
        <v>36</v>
      </c>
    </row>
    <row r="105" spans="2:4" hidden="1" x14ac:dyDescent="0.35">
      <c r="B105" s="42"/>
      <c r="C105" s="43"/>
      <c r="D105" s="74" t="s">
        <v>36</v>
      </c>
    </row>
    <row r="106" spans="2:4" ht="15" hidden="1" thickBot="1" x14ac:dyDescent="0.4">
      <c r="B106" s="42"/>
      <c r="C106" s="43"/>
      <c r="D106" s="74"/>
    </row>
    <row r="107" spans="2:4" ht="21" hidden="1" x14ac:dyDescent="0.5">
      <c r="B107" s="80" t="s">
        <v>0</v>
      </c>
      <c r="C107" s="81" t="s">
        <v>1</v>
      </c>
      <c r="D107" s="82" t="s">
        <v>7</v>
      </c>
    </row>
    <row r="108" spans="2:4" hidden="1" x14ac:dyDescent="0.35">
      <c r="B108" s="48" t="s">
        <v>40</v>
      </c>
      <c r="C108" s="49" t="s">
        <v>85</v>
      </c>
      <c r="D108" s="75" t="s">
        <v>37</v>
      </c>
    </row>
    <row r="109" spans="2:4" hidden="1" x14ac:dyDescent="0.35"/>
    <row r="110" spans="2:4" hidden="1" x14ac:dyDescent="0.35"/>
    <row r="111" spans="2:4" hidden="1" x14ac:dyDescent="0.35"/>
    <row r="112" spans="2:4" hidden="1" x14ac:dyDescent="0.35"/>
    <row r="113" spans="4:31" ht="31.5" customHeight="1" x14ac:dyDescent="0.35">
      <c r="D113" s="154" t="s">
        <v>110</v>
      </c>
      <c r="E113" s="155"/>
      <c r="F113" s="154" t="s">
        <v>111</v>
      </c>
      <c r="G113" s="155"/>
      <c r="H113" s="154" t="s">
        <v>112</v>
      </c>
      <c r="I113" s="155"/>
      <c r="J113" s="154" t="s">
        <v>113</v>
      </c>
      <c r="K113" s="155"/>
      <c r="L113" s="154" t="s">
        <v>114</v>
      </c>
      <c r="M113" s="155"/>
      <c r="O113" s="154" t="s">
        <v>115</v>
      </c>
      <c r="P113" s="155"/>
      <c r="Q113" s="154" t="s">
        <v>116</v>
      </c>
      <c r="R113" s="155"/>
      <c r="S113" s="154" t="s">
        <v>117</v>
      </c>
      <c r="T113" s="160"/>
      <c r="U113" s="155"/>
      <c r="W113" s="154" t="s">
        <v>118</v>
      </c>
      <c r="X113" s="155"/>
      <c r="Y113" s="154" t="s">
        <v>119</v>
      </c>
      <c r="Z113" s="155"/>
      <c r="AB113" s="154" t="s">
        <v>120</v>
      </c>
      <c r="AC113" s="160"/>
      <c r="AD113" s="154" t="s">
        <v>121</v>
      </c>
      <c r="AE113" s="155"/>
    </row>
    <row r="114" spans="4:31" x14ac:dyDescent="0.35">
      <c r="D114" s="156"/>
      <c r="E114" s="157"/>
      <c r="F114" s="156"/>
      <c r="G114" s="157"/>
      <c r="H114" s="156"/>
      <c r="I114" s="157"/>
      <c r="J114" s="156"/>
      <c r="K114" s="157"/>
      <c r="L114" s="156"/>
      <c r="M114" s="157"/>
      <c r="O114" s="156"/>
      <c r="P114" s="157"/>
      <c r="Q114" s="156"/>
      <c r="R114" s="157"/>
      <c r="S114" s="156"/>
      <c r="T114" s="161"/>
      <c r="U114" s="157"/>
      <c r="W114" s="156"/>
      <c r="X114" s="157"/>
      <c r="Y114" s="156"/>
      <c r="Z114" s="157"/>
      <c r="AB114" s="156"/>
      <c r="AC114" s="161"/>
      <c r="AD114" s="156"/>
      <c r="AE114" s="157"/>
    </row>
    <row r="115" spans="4:31" ht="15" thickBot="1" x14ac:dyDescent="0.4">
      <c r="D115" s="158"/>
      <c r="E115" s="159"/>
      <c r="F115" s="158"/>
      <c r="G115" s="159"/>
      <c r="H115" s="158"/>
      <c r="I115" s="159"/>
      <c r="J115" s="158"/>
      <c r="K115" s="159"/>
      <c r="L115" s="158"/>
      <c r="M115" s="159"/>
      <c r="O115" s="158"/>
      <c r="P115" s="159"/>
      <c r="Q115" s="158"/>
      <c r="R115" s="159"/>
      <c r="S115" s="158"/>
      <c r="T115" s="162"/>
      <c r="U115" s="159"/>
      <c r="W115" s="158"/>
      <c r="X115" s="159"/>
      <c r="Y115" s="158"/>
      <c r="Z115" s="159"/>
      <c r="AB115" s="158"/>
      <c r="AC115" s="162"/>
      <c r="AD115" s="158"/>
      <c r="AE115" s="159"/>
    </row>
    <row r="118" spans="4:31" x14ac:dyDescent="0.35">
      <c r="V118" s="137"/>
    </row>
    <row r="120" spans="4:31" x14ac:dyDescent="0.35">
      <c r="V120" s="137"/>
      <c r="Y120" s="1" t="s">
        <v>2</v>
      </c>
    </row>
    <row r="122" spans="4:31" x14ac:dyDescent="0.35">
      <c r="K122" s="1" t="s">
        <v>2</v>
      </c>
      <c r="N122" s="1" t="s">
        <v>2</v>
      </c>
      <c r="U122" s="1" t="s">
        <v>2</v>
      </c>
    </row>
    <row r="123" spans="4:31" x14ac:dyDescent="0.35">
      <c r="L123" s="1" t="s">
        <v>2</v>
      </c>
      <c r="U123" s="1" t="s">
        <v>2</v>
      </c>
    </row>
    <row r="124" spans="4:31" x14ac:dyDescent="0.35">
      <c r="Q124" s="1" t="s">
        <v>2</v>
      </c>
      <c r="U124" s="1" t="s">
        <v>2</v>
      </c>
    </row>
  </sheetData>
  <mergeCells count="12">
    <mergeCell ref="W113:X115"/>
    <mergeCell ref="Y113:Z115"/>
    <mergeCell ref="S113:U115"/>
    <mergeCell ref="AB113:AC115"/>
    <mergeCell ref="AD113:AE115"/>
    <mergeCell ref="O113:P115"/>
    <mergeCell ref="Q113:R115"/>
    <mergeCell ref="D113:E115"/>
    <mergeCell ref="F113:G115"/>
    <mergeCell ref="H113:I115"/>
    <mergeCell ref="J113:K115"/>
    <mergeCell ref="L113:M1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EXAMPLE</vt:lpstr>
      <vt:lpstr>STATE CHAMPIONSHIP INDOOR 2026</vt:lpstr>
      <vt:lpstr>SHOOTING LINE</vt:lpstr>
      <vt:lpstr>'STATE CHAMPIONSHIP INDOOR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ferguson</dc:creator>
  <cp:lastModifiedBy>chris ferguson</cp:lastModifiedBy>
  <cp:lastPrinted>2026-01-15T18:47:36Z</cp:lastPrinted>
  <dcterms:created xsi:type="dcterms:W3CDTF">2015-06-05T18:17:20Z</dcterms:created>
  <dcterms:modified xsi:type="dcterms:W3CDTF">2026-02-16T18:29:32Z</dcterms:modified>
</cp:coreProperties>
</file>